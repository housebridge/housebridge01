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マイドライブ\ハウスインフォ\08 個人デスクトップ\福永義正\AI福永義正\note有料記事プロジェクト\"/>
    </mc:Choice>
  </mc:AlternateContent>
  <xr:revisionPtr revIDLastSave="0" documentId="13_ncr:1_{029E5079-DC71-4472-A273-CBB9721B7C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総予算計画書" sheetId="1" r:id="rId1"/>
    <sheet name="支払い計画表" sheetId="2" r:id="rId2"/>
    <sheet name="支払い計画表 (見本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4" l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E8" i="4"/>
  <c r="E6" i="4"/>
  <c r="F11" i="2"/>
  <c r="E6" i="2" l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C51" i="1"/>
  <c r="C46" i="1"/>
  <c r="C42" i="1"/>
  <c r="C30" i="1"/>
  <c r="C29" i="1"/>
  <c r="C24" i="1"/>
  <c r="C25" i="1" s="1"/>
  <c r="C18" i="1"/>
  <c r="C19" i="1" s="1"/>
  <c r="C7" i="1"/>
  <c r="C8" i="1" s="1"/>
  <c r="E8" i="2" l="1"/>
  <c r="C53" i="1"/>
</calcChain>
</file>

<file path=xl/sharedStrings.xml><?xml version="1.0" encoding="utf-8"?>
<sst xmlns="http://schemas.openxmlformats.org/spreadsheetml/2006/main" count="224" uniqueCount="119">
  <si>
    <t>総予算計画書</t>
  </si>
  <si>
    <t>お施主様名：</t>
  </si>
  <si>
    <t>作成日：</t>
  </si>
  <si>
    <t>項目</t>
  </si>
  <si>
    <t>備考</t>
  </si>
  <si>
    <t>金額</t>
  </si>
  <si>
    <t>参考目安</t>
  </si>
  <si>
    <t>① 建物本体工事</t>
  </si>
  <si>
    <t>本体工事費</t>
  </si>
  <si>
    <t>円</t>
  </si>
  <si>
    <t>消費税（10%）</t>
  </si>
  <si>
    <t>自動計算</t>
  </si>
  <si>
    <t>① 小計</t>
  </si>
  <si>
    <t>② 付帯工事（1）</t>
  </si>
  <si>
    <t>測量費</t>
  </si>
  <si>
    <t>解体撤去工事</t>
  </si>
  <si>
    <t>建て替えの場合</t>
  </si>
  <si>
    <t>外構工事</t>
  </si>
  <si>
    <t>フェンス・庭・駐車場・植栽</t>
  </si>
  <si>
    <t>目安 150～300万円</t>
  </si>
  <si>
    <t>植栽工事</t>
  </si>
  <si>
    <t>外構に含む場合あり</t>
  </si>
  <si>
    <t>上下水道本管工事</t>
  </si>
  <si>
    <t>引込工事が必要な場合</t>
  </si>
  <si>
    <t>地盤改良工事</t>
  </si>
  <si>
    <t>地盤調査の結果による</t>
  </si>
  <si>
    <t>目安 50～150万円</t>
  </si>
  <si>
    <t>空調設備（エアコン等）</t>
  </si>
  <si>
    <t>目安 50～100万円</t>
  </si>
  <si>
    <t>照明器具費</t>
  </si>
  <si>
    <t>目安 30～80万円</t>
  </si>
  <si>
    <t>消費税</t>
  </si>
  <si>
    <t>② 小計</t>
  </si>
  <si>
    <t>③ 付帯工事（2）</t>
  </si>
  <si>
    <t>カーテン</t>
  </si>
  <si>
    <t>家具</t>
  </si>
  <si>
    <t>置き家具</t>
  </si>
  <si>
    <t>家電</t>
  </si>
  <si>
    <t>③ 小計</t>
  </si>
  <si>
    <t>④ 設計費</t>
  </si>
  <si>
    <t>設計料</t>
  </si>
  <si>
    <t>工事費に含まれる場合あり</t>
  </si>
  <si>
    <t>工事費の10～15%が目安</t>
  </si>
  <si>
    <t>構造計算・各種申請</t>
  </si>
  <si>
    <t>④ 小計</t>
  </si>
  <si>
    <t>⑤ 諸費用</t>
  </si>
  <si>
    <t>上水道分担金</t>
  </si>
  <si>
    <t>各種申請費</t>
  </si>
  <si>
    <t>建築地による</t>
  </si>
  <si>
    <t>住宅ローン諸費用</t>
  </si>
  <si>
    <t>保証料・事務手数料</t>
  </si>
  <si>
    <t>目安 50～120万円</t>
  </si>
  <si>
    <t>登記費用（建物）</t>
  </si>
  <si>
    <t>登録免許税＋司法書士</t>
  </si>
  <si>
    <t>目安 20～40万円</t>
  </si>
  <si>
    <t>登記費用（土地）</t>
  </si>
  <si>
    <t>固定資産税評価額による</t>
  </si>
  <si>
    <t>目安 20～50万円</t>
  </si>
  <si>
    <t>引越し費用</t>
  </si>
  <si>
    <t>距離・荷物量による</t>
  </si>
  <si>
    <t>目安 10～30万円</t>
  </si>
  <si>
    <t>仮住まい費用</t>
  </si>
  <si>
    <t>建替えの場合</t>
  </si>
  <si>
    <t>地鎮祭</t>
  </si>
  <si>
    <t>目安 3～5万円</t>
  </si>
  <si>
    <t>上棟式</t>
  </si>
  <si>
    <t>目安 5～10万円</t>
  </si>
  <si>
    <t>火災保険・地震保険</t>
  </si>
  <si>
    <t>10年一括等</t>
  </si>
  <si>
    <t>⑤ 小計</t>
  </si>
  <si>
    <t>⑥ 土地代金</t>
  </si>
  <si>
    <t>土地代金</t>
  </si>
  <si>
    <t>仲介手数料</t>
  </si>
  <si>
    <t>（売買価格×3%＋6万円）×消費税</t>
  </si>
  <si>
    <t>⑥ 小計</t>
  </si>
  <si>
    <t>⑦ 税金</t>
  </si>
  <si>
    <t>印紙税</t>
  </si>
  <si>
    <t>契約書に貼付</t>
  </si>
  <si>
    <t>1～3万円</t>
  </si>
  <si>
    <t>確認申請関係証紙代</t>
  </si>
  <si>
    <t>不動産取得税</t>
  </si>
  <si>
    <t>翌年度に必要</t>
  </si>
  <si>
    <t>⑦ 小計</t>
  </si>
  <si>
    <t>予算合計　①～⑦ 合計</t>
  </si>
  <si>
    <t>※ 見積もりを受け取ったら「この見積もりに含まれていないものは何ですか？」と必ず確認してください。
※ 黄色のセルに金額を入力してください。消費税・小計・合計は自動計算されます。</t>
  </si>
  <si>
    <t>福永義正｜一級建築士｜建築家ネットワーク・ナビ代表理事</t>
  </si>
  <si>
    <t>支払い計画表（スケジュール）</t>
  </si>
  <si>
    <t>自己資金</t>
  </si>
  <si>
    <t>住宅ローン</t>
  </si>
  <si>
    <t>差引残高 ①-②</t>
  </si>
  <si>
    <t>日付</t>
  </si>
  <si>
    <t>スケジュール</t>
  </si>
  <si>
    <t>残高</t>
  </si>
  <si>
    <t>家づくりスタート</t>
  </si>
  <si>
    <t>資金計画作成</t>
  </si>
  <si>
    <t>※ 日付欄・自己資金増減・住宅ローン欄（黄色セル）に入力してください。残高は自動計算されます。
※ 支払いのタイミングは工務店・建築家によって異なります。事前にご確認ください。</t>
  </si>
  <si>
    <t>坪数×坪単価</t>
    <rPh sb="0" eb="1">
      <t>ツボ</t>
    </rPh>
    <rPh sb="3" eb="4">
      <t>ツボ</t>
    </rPh>
    <phoneticPr fontId="9"/>
  </si>
  <si>
    <t>坪単価の目安を確認</t>
    <rPh sb="0" eb="1">
      <t>ツボ</t>
    </rPh>
    <phoneticPr fontId="9"/>
  </si>
  <si>
    <t>プロジェクト名：</t>
    <rPh sb="6" eb="7">
      <t>メイ</t>
    </rPh>
    <phoneticPr fontId="9"/>
  </si>
  <si>
    <t>準備資金合計 ①</t>
    <rPh sb="0" eb="2">
      <t>ジュンビ</t>
    </rPh>
    <phoneticPr fontId="9"/>
  </si>
  <si>
    <t>支払総予算 ②</t>
    <rPh sb="0" eb="2">
      <t>シハライ</t>
    </rPh>
    <rPh sb="2" eb="5">
      <t>ソウヨサン</t>
    </rPh>
    <phoneticPr fontId="9"/>
  </si>
  <si>
    <t>土地購入手付金支払い</t>
    <rPh sb="0" eb="4">
      <t>トチコウニュウ</t>
    </rPh>
    <rPh sb="4" eb="7">
      <t>テツケキン</t>
    </rPh>
    <rPh sb="7" eb="9">
      <t>シハラ</t>
    </rPh>
    <phoneticPr fontId="9"/>
  </si>
  <si>
    <t>住宅ローン</t>
    <rPh sb="0" eb="2">
      <t>ジュウタク</t>
    </rPh>
    <phoneticPr fontId="9"/>
  </si>
  <si>
    <t>土地先行融資実行</t>
    <rPh sb="0" eb="2">
      <t>トチ</t>
    </rPh>
    <rPh sb="2" eb="4">
      <t>センコウ</t>
    </rPh>
    <rPh sb="4" eb="6">
      <t>ユウシ</t>
    </rPh>
    <rPh sb="6" eb="8">
      <t>ジッコウ</t>
    </rPh>
    <phoneticPr fontId="9"/>
  </si>
  <si>
    <t>土地決済</t>
    <rPh sb="0" eb="2">
      <t>トチ</t>
    </rPh>
    <rPh sb="2" eb="4">
      <t>ケッサイ</t>
    </rPh>
    <phoneticPr fontId="9"/>
  </si>
  <si>
    <t>土地契約</t>
    <rPh sb="0" eb="2">
      <t>トチ</t>
    </rPh>
    <rPh sb="2" eb="4">
      <t>ケイヤク</t>
    </rPh>
    <phoneticPr fontId="9"/>
  </si>
  <si>
    <t>住宅ローン特約付</t>
    <rPh sb="0" eb="2">
      <t>ジュウタク</t>
    </rPh>
    <rPh sb="5" eb="7">
      <t>トクヤク</t>
    </rPh>
    <rPh sb="7" eb="8">
      <t>ツ</t>
    </rPh>
    <phoneticPr fontId="9"/>
  </si>
  <si>
    <t>工事請負契約：着工金</t>
    <rPh sb="0" eb="4">
      <t>コウジウケオイ</t>
    </rPh>
    <rPh sb="4" eb="6">
      <t>ケイヤク</t>
    </rPh>
    <rPh sb="7" eb="10">
      <t>チャッコウキン</t>
    </rPh>
    <phoneticPr fontId="9"/>
  </si>
  <si>
    <t>総額32,000,000円×20％</t>
    <rPh sb="0" eb="2">
      <t>ソウガク</t>
    </rPh>
    <rPh sb="12" eb="13">
      <t>エン</t>
    </rPh>
    <phoneticPr fontId="9"/>
  </si>
  <si>
    <t>分割融資実行</t>
    <rPh sb="0" eb="2">
      <t>ブンカツ</t>
    </rPh>
    <rPh sb="2" eb="6">
      <t>ユウシジッコウ</t>
    </rPh>
    <phoneticPr fontId="9"/>
  </si>
  <si>
    <t>住宅ローンの入出金</t>
    <rPh sb="6" eb="9">
      <t>ニュウシュッキン</t>
    </rPh>
    <phoneticPr fontId="9"/>
  </si>
  <si>
    <t>自己資金で出金</t>
    <rPh sb="5" eb="7">
      <t>シュッキン</t>
    </rPh>
    <phoneticPr fontId="9"/>
  </si>
  <si>
    <t>総額32,000,000円×30％</t>
    <rPh sb="0" eb="2">
      <t>ソウガク</t>
    </rPh>
    <rPh sb="12" eb="13">
      <t>エン</t>
    </rPh>
    <phoneticPr fontId="9"/>
  </si>
  <si>
    <t>工事請負契約：中間金</t>
    <rPh sb="0" eb="4">
      <t>コウジウケオイ</t>
    </rPh>
    <rPh sb="4" eb="6">
      <t>ケイヤク</t>
    </rPh>
    <rPh sb="7" eb="9">
      <t>チュウカン</t>
    </rPh>
    <rPh sb="9" eb="10">
      <t>キン</t>
    </rPh>
    <phoneticPr fontId="9"/>
  </si>
  <si>
    <t>上棟</t>
    <rPh sb="0" eb="2">
      <t>ジョウトウ</t>
    </rPh>
    <phoneticPr fontId="9"/>
  </si>
  <si>
    <t>着工</t>
    <rPh sb="0" eb="2">
      <t>チャッコウ</t>
    </rPh>
    <phoneticPr fontId="9"/>
  </si>
  <si>
    <t>完了</t>
    <rPh sb="0" eb="2">
      <t>カンリョウ</t>
    </rPh>
    <phoneticPr fontId="9"/>
  </si>
  <si>
    <t>総額32,000,000円×50％</t>
    <rPh sb="0" eb="2">
      <t>ソウガク</t>
    </rPh>
    <rPh sb="12" eb="13">
      <t>エン</t>
    </rPh>
    <phoneticPr fontId="9"/>
  </si>
  <si>
    <t>その他支払</t>
    <rPh sb="2" eb="3">
      <t>タ</t>
    </rPh>
    <rPh sb="3" eb="5">
      <t>シハライ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</si>
</sst>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6"/>
      <color rgb="FF1F4E79"/>
      <name val="Meiryo UI"/>
      <family val="3"/>
      <charset val="128"/>
    </font>
    <font>
      <b/>
      <sz val="10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0"/>
      <name val="Meiryo UI"/>
      <family val="3"/>
      <charset val="128"/>
    </font>
    <font>
      <sz val="9"/>
      <color rgb="FF666666"/>
      <name val="Meiryo UI"/>
      <family val="3"/>
      <charset val="128"/>
    </font>
    <font>
      <b/>
      <sz val="12"/>
      <color rgb="FFFFFFFF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9"/>
      <color rgb="FFCC0000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1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 style="thin">
        <color rgb="FFB4B4B4"/>
      </diagonal>
    </border>
    <border>
      <left/>
      <right style="thin">
        <color rgb="FFB4B4B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left" vertical="center" wrapText="1"/>
    </xf>
    <xf numFmtId="3" fontId="0" fillId="2" borderId="1" xfId="0" applyNumberFormat="1" applyFill="1" applyBorder="1" applyAlignment="1">
      <alignment horizontal="right" vertical="center"/>
    </xf>
    <xf numFmtId="0" fontId="0" fillId="0" borderId="1" xfId="0" applyBorder="1"/>
    <xf numFmtId="3" fontId="0" fillId="0" borderId="1" xfId="0" applyNumberFormat="1" applyBorder="1" applyAlignment="1">
      <alignment horizontal="right" vertical="center"/>
    </xf>
    <xf numFmtId="0" fontId="2" fillId="5" borderId="1" xfId="0" applyFont="1" applyFill="1" applyBorder="1"/>
    <xf numFmtId="0" fontId="0" fillId="5" borderId="1" xfId="0" applyFill="1" applyBorder="1"/>
    <xf numFmtId="3" fontId="2" fillId="5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3" fontId="6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/>
    <xf numFmtId="0" fontId="5" fillId="0" borderId="0" xfId="0" applyFont="1"/>
    <xf numFmtId="0" fontId="2" fillId="0" borderId="1" xfId="0" applyFont="1" applyBorder="1"/>
    <xf numFmtId="0" fontId="0" fillId="2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4" borderId="1" xfId="0" applyFont="1" applyFill="1" applyBorder="1"/>
    <xf numFmtId="0" fontId="0" fillId="4" borderId="1" xfId="0" applyFill="1" applyBorder="1"/>
    <xf numFmtId="0" fontId="8" fillId="0" borderId="0" xfId="0" applyFont="1" applyAlignment="1">
      <alignment horizontal="left" vertical="center" wrapText="1"/>
    </xf>
    <xf numFmtId="3" fontId="0" fillId="2" borderId="2" xfId="0" applyNumberForma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 wrapText="1"/>
    </xf>
    <xf numFmtId="0" fontId="2" fillId="0" borderId="0" xfId="0" applyFont="1" applyAlignment="1"/>
    <xf numFmtId="0" fontId="2" fillId="0" borderId="3" xfId="0" applyFont="1" applyBorder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58"/>
  <sheetViews>
    <sheetView tabSelected="1" topLeftCell="A49" zoomScale="145" zoomScaleNormal="145" workbookViewId="0">
      <selection activeCell="H8" sqref="H8"/>
    </sheetView>
  </sheetViews>
  <sheetFormatPr defaultRowHeight="13.5" x14ac:dyDescent="0.15"/>
  <cols>
    <col min="1" max="1" width="24" customWidth="1"/>
    <col min="2" max="2" width="30" customWidth="1"/>
    <col min="3" max="3" width="16" customWidth="1"/>
    <col min="4" max="4" width="6" customWidth="1"/>
    <col min="5" max="5" width="18" customWidth="1"/>
    <col min="6" max="6" width="6" customWidth="1"/>
  </cols>
  <sheetData>
    <row r="1" spans="1:6" ht="35.1" customHeight="1" x14ac:dyDescent="0.15">
      <c r="A1" s="21" t="s">
        <v>0</v>
      </c>
      <c r="B1" s="19"/>
      <c r="C1" s="19"/>
      <c r="D1" s="19"/>
      <c r="E1" s="19"/>
      <c r="F1" s="19"/>
    </row>
    <row r="2" spans="1:6" ht="15" x14ac:dyDescent="0.25">
      <c r="A2" s="1" t="s">
        <v>1</v>
      </c>
      <c r="B2" s="18"/>
      <c r="C2" s="19"/>
      <c r="E2" s="27" t="s">
        <v>2</v>
      </c>
      <c r="F2" s="28"/>
    </row>
    <row r="4" spans="1:6" ht="14.25" x14ac:dyDescent="0.15">
      <c r="A4" s="2" t="s">
        <v>3</v>
      </c>
      <c r="B4" s="2" t="s">
        <v>4</v>
      </c>
      <c r="C4" s="2" t="s">
        <v>5</v>
      </c>
      <c r="D4" s="2"/>
      <c r="E4" s="2" t="s">
        <v>6</v>
      </c>
      <c r="F4" s="2"/>
    </row>
    <row r="5" spans="1:6" ht="24.95" customHeight="1" x14ac:dyDescent="0.15">
      <c r="A5" s="20" t="s">
        <v>7</v>
      </c>
      <c r="B5" s="19"/>
      <c r="C5" s="19"/>
      <c r="D5" s="19"/>
      <c r="E5" s="19"/>
      <c r="F5" s="19"/>
    </row>
    <row r="6" spans="1:6" ht="15" x14ac:dyDescent="0.25">
      <c r="A6" s="3" t="s">
        <v>8</v>
      </c>
      <c r="B6" s="4" t="s">
        <v>96</v>
      </c>
      <c r="C6" s="5"/>
      <c r="D6" s="3" t="s">
        <v>9</v>
      </c>
      <c r="E6" s="4" t="s">
        <v>97</v>
      </c>
      <c r="F6" s="6"/>
    </row>
    <row r="7" spans="1:6" ht="15" x14ac:dyDescent="0.25">
      <c r="A7" s="3" t="s">
        <v>10</v>
      </c>
      <c r="B7" s="4" t="s">
        <v>11</v>
      </c>
      <c r="C7" s="7">
        <f>ROUND(C6*0.1,0)</f>
        <v>0</v>
      </c>
      <c r="D7" s="3" t="s">
        <v>9</v>
      </c>
      <c r="E7" s="4"/>
      <c r="F7" s="6"/>
    </row>
    <row r="8" spans="1:6" ht="15" x14ac:dyDescent="0.25">
      <c r="A8" s="8" t="s">
        <v>12</v>
      </c>
      <c r="B8" s="9"/>
      <c r="C8" s="10">
        <f>SUM(C6:C7)</f>
        <v>0</v>
      </c>
      <c r="D8" s="8" t="s">
        <v>9</v>
      </c>
      <c r="E8" s="9"/>
      <c r="F8" s="9"/>
    </row>
    <row r="9" spans="1:6" ht="24.95" customHeight="1" x14ac:dyDescent="0.15">
      <c r="A9" s="20" t="s">
        <v>13</v>
      </c>
      <c r="B9" s="19"/>
      <c r="C9" s="19"/>
      <c r="D9" s="19"/>
      <c r="E9" s="19"/>
      <c r="F9" s="19"/>
    </row>
    <row r="10" spans="1:6" ht="15" x14ac:dyDescent="0.25">
      <c r="A10" s="3" t="s">
        <v>14</v>
      </c>
      <c r="B10" s="4"/>
      <c r="C10" s="5"/>
      <c r="D10" s="3" t="s">
        <v>9</v>
      </c>
      <c r="E10" s="4"/>
      <c r="F10" s="6"/>
    </row>
    <row r="11" spans="1:6" ht="15" x14ac:dyDescent="0.25">
      <c r="A11" s="3" t="s">
        <v>15</v>
      </c>
      <c r="B11" s="4" t="s">
        <v>16</v>
      </c>
      <c r="C11" s="5"/>
      <c r="D11" s="3" t="s">
        <v>9</v>
      </c>
      <c r="E11" s="4"/>
      <c r="F11" s="6"/>
    </row>
    <row r="12" spans="1:6" ht="15" x14ac:dyDescent="0.25">
      <c r="A12" s="3" t="s">
        <v>17</v>
      </c>
      <c r="B12" s="4" t="s">
        <v>18</v>
      </c>
      <c r="C12" s="5"/>
      <c r="D12" s="3" t="s">
        <v>9</v>
      </c>
      <c r="E12" s="4" t="s">
        <v>19</v>
      </c>
      <c r="F12" s="6"/>
    </row>
    <row r="13" spans="1:6" ht="15" x14ac:dyDescent="0.25">
      <c r="A13" s="3" t="s">
        <v>20</v>
      </c>
      <c r="B13" s="4" t="s">
        <v>21</v>
      </c>
      <c r="C13" s="5"/>
      <c r="D13" s="3" t="s">
        <v>9</v>
      </c>
      <c r="E13" s="4"/>
      <c r="F13" s="6"/>
    </row>
    <row r="14" spans="1:6" ht="15" x14ac:dyDescent="0.25">
      <c r="A14" s="3" t="s">
        <v>22</v>
      </c>
      <c r="B14" s="4" t="s">
        <v>23</v>
      </c>
      <c r="C14" s="5"/>
      <c r="D14" s="3" t="s">
        <v>9</v>
      </c>
      <c r="E14" s="4"/>
      <c r="F14" s="6"/>
    </row>
    <row r="15" spans="1:6" ht="15" x14ac:dyDescent="0.25">
      <c r="A15" s="3" t="s">
        <v>24</v>
      </c>
      <c r="B15" s="4" t="s">
        <v>25</v>
      </c>
      <c r="C15" s="5"/>
      <c r="D15" s="3" t="s">
        <v>9</v>
      </c>
      <c r="E15" s="4" t="s">
        <v>26</v>
      </c>
      <c r="F15" s="6"/>
    </row>
    <row r="16" spans="1:6" ht="15" x14ac:dyDescent="0.25">
      <c r="A16" s="3" t="s">
        <v>27</v>
      </c>
      <c r="B16" s="4"/>
      <c r="C16" s="5"/>
      <c r="D16" s="3" t="s">
        <v>9</v>
      </c>
      <c r="E16" s="4" t="s">
        <v>28</v>
      </c>
      <c r="F16" s="6"/>
    </row>
    <row r="17" spans="1:6" ht="15" x14ac:dyDescent="0.25">
      <c r="A17" s="3" t="s">
        <v>29</v>
      </c>
      <c r="B17" s="4"/>
      <c r="C17" s="5"/>
      <c r="D17" s="3" t="s">
        <v>9</v>
      </c>
      <c r="E17" s="4" t="s">
        <v>30</v>
      </c>
      <c r="F17" s="6"/>
    </row>
    <row r="18" spans="1:6" ht="15" x14ac:dyDescent="0.25">
      <c r="A18" s="3" t="s">
        <v>31</v>
      </c>
      <c r="B18" s="4" t="s">
        <v>11</v>
      </c>
      <c r="C18" s="7">
        <f>ROUND(SUM(C10:C17)*0.1,0)</f>
        <v>0</v>
      </c>
      <c r="D18" s="3" t="s">
        <v>9</v>
      </c>
      <c r="E18" s="4"/>
      <c r="F18" s="6"/>
    </row>
    <row r="19" spans="1:6" ht="15" x14ac:dyDescent="0.25">
      <c r="A19" s="8" t="s">
        <v>32</v>
      </c>
      <c r="B19" s="9"/>
      <c r="C19" s="10">
        <f>SUM(C10:C18)</f>
        <v>0</v>
      </c>
      <c r="D19" s="8" t="s">
        <v>9</v>
      </c>
      <c r="E19" s="9"/>
      <c r="F19" s="9"/>
    </row>
    <row r="20" spans="1:6" ht="24.95" customHeight="1" x14ac:dyDescent="0.15">
      <c r="A20" s="20" t="s">
        <v>33</v>
      </c>
      <c r="B20" s="19"/>
      <c r="C20" s="19"/>
      <c r="D20" s="19"/>
      <c r="E20" s="19"/>
      <c r="F20" s="19"/>
    </row>
    <row r="21" spans="1:6" ht="15" x14ac:dyDescent="0.25">
      <c r="A21" s="3" t="s">
        <v>34</v>
      </c>
      <c r="B21" s="4"/>
      <c r="C21" s="5"/>
      <c r="D21" s="3" t="s">
        <v>9</v>
      </c>
      <c r="E21" s="4" t="s">
        <v>30</v>
      </c>
      <c r="F21" s="6"/>
    </row>
    <row r="22" spans="1:6" ht="15" x14ac:dyDescent="0.25">
      <c r="A22" s="3" t="s">
        <v>35</v>
      </c>
      <c r="B22" s="4" t="s">
        <v>36</v>
      </c>
      <c r="C22" s="5"/>
      <c r="D22" s="3" t="s">
        <v>9</v>
      </c>
      <c r="E22" s="4"/>
      <c r="F22" s="6"/>
    </row>
    <row r="23" spans="1:6" ht="15" x14ac:dyDescent="0.25">
      <c r="A23" s="3" t="s">
        <v>37</v>
      </c>
      <c r="B23" s="4"/>
      <c r="C23" s="5"/>
      <c r="D23" s="3" t="s">
        <v>9</v>
      </c>
      <c r="E23" s="4"/>
      <c r="F23" s="6"/>
    </row>
    <row r="24" spans="1:6" ht="15" x14ac:dyDescent="0.25">
      <c r="A24" s="3" t="s">
        <v>31</v>
      </c>
      <c r="B24" s="4" t="s">
        <v>11</v>
      </c>
      <c r="C24" s="7">
        <f>ROUND(SUM(C21:C23)*0.1,0)</f>
        <v>0</v>
      </c>
      <c r="D24" s="3" t="s">
        <v>9</v>
      </c>
      <c r="E24" s="4"/>
      <c r="F24" s="6"/>
    </row>
    <row r="25" spans="1:6" ht="15" x14ac:dyDescent="0.25">
      <c r="A25" s="8" t="s">
        <v>38</v>
      </c>
      <c r="B25" s="9"/>
      <c r="C25" s="10">
        <f>SUM(C21:C24)</f>
        <v>0</v>
      </c>
      <c r="D25" s="8" t="s">
        <v>9</v>
      </c>
      <c r="E25" s="9"/>
      <c r="F25" s="9"/>
    </row>
    <row r="26" spans="1:6" ht="24.95" customHeight="1" x14ac:dyDescent="0.15">
      <c r="A26" s="20" t="s">
        <v>39</v>
      </c>
      <c r="B26" s="19"/>
      <c r="C26" s="19"/>
      <c r="D26" s="19"/>
      <c r="E26" s="19"/>
      <c r="F26" s="19"/>
    </row>
    <row r="27" spans="1:6" ht="15" x14ac:dyDescent="0.25">
      <c r="A27" s="3" t="s">
        <v>40</v>
      </c>
      <c r="B27" s="4" t="s">
        <v>41</v>
      </c>
      <c r="C27" s="5"/>
      <c r="D27" s="3" t="s">
        <v>9</v>
      </c>
      <c r="E27" s="4" t="s">
        <v>42</v>
      </c>
      <c r="F27" s="6"/>
    </row>
    <row r="28" spans="1:6" ht="15" x14ac:dyDescent="0.25">
      <c r="A28" s="3" t="s">
        <v>43</v>
      </c>
      <c r="B28" s="4"/>
      <c r="C28" s="5"/>
      <c r="D28" s="3" t="s">
        <v>9</v>
      </c>
      <c r="E28" s="4"/>
      <c r="F28" s="6"/>
    </row>
    <row r="29" spans="1:6" ht="15" x14ac:dyDescent="0.25">
      <c r="A29" s="3" t="s">
        <v>31</v>
      </c>
      <c r="B29" s="4" t="s">
        <v>11</v>
      </c>
      <c r="C29" s="7">
        <f>ROUND(SUM(C27:C28)*0.1,0)</f>
        <v>0</v>
      </c>
      <c r="D29" s="3" t="s">
        <v>9</v>
      </c>
      <c r="E29" s="4"/>
      <c r="F29" s="6"/>
    </row>
    <row r="30" spans="1:6" ht="15" x14ac:dyDescent="0.25">
      <c r="A30" s="8" t="s">
        <v>44</v>
      </c>
      <c r="B30" s="9"/>
      <c r="C30" s="10">
        <f>SUM(C27:C29)</f>
        <v>0</v>
      </c>
      <c r="D30" s="8" t="s">
        <v>9</v>
      </c>
      <c r="E30" s="9"/>
      <c r="F30" s="9"/>
    </row>
    <row r="31" spans="1:6" ht="24.95" customHeight="1" x14ac:dyDescent="0.15">
      <c r="A31" s="20" t="s">
        <v>45</v>
      </c>
      <c r="B31" s="19"/>
      <c r="C31" s="19"/>
      <c r="D31" s="19"/>
      <c r="E31" s="19"/>
      <c r="F31" s="19"/>
    </row>
    <row r="32" spans="1:6" ht="15" x14ac:dyDescent="0.25">
      <c r="A32" s="3" t="s">
        <v>46</v>
      </c>
      <c r="B32" s="4"/>
      <c r="C32" s="5"/>
      <c r="D32" s="3" t="s">
        <v>9</v>
      </c>
      <c r="E32" s="4"/>
      <c r="F32" s="6"/>
    </row>
    <row r="33" spans="1:6" ht="15" x14ac:dyDescent="0.25">
      <c r="A33" s="3" t="s">
        <v>47</v>
      </c>
      <c r="B33" s="4" t="s">
        <v>48</v>
      </c>
      <c r="C33" s="5"/>
      <c r="D33" s="3" t="s">
        <v>9</v>
      </c>
      <c r="E33" s="4"/>
      <c r="F33" s="6"/>
    </row>
    <row r="34" spans="1:6" ht="15" x14ac:dyDescent="0.25">
      <c r="A34" s="3" t="s">
        <v>49</v>
      </c>
      <c r="B34" s="4" t="s">
        <v>50</v>
      </c>
      <c r="C34" s="5"/>
      <c r="D34" s="3" t="s">
        <v>9</v>
      </c>
      <c r="E34" s="4" t="s">
        <v>51</v>
      </c>
      <c r="F34" s="6"/>
    </row>
    <row r="35" spans="1:6" ht="15" x14ac:dyDescent="0.25">
      <c r="A35" s="3" t="s">
        <v>52</v>
      </c>
      <c r="B35" s="4" t="s">
        <v>53</v>
      </c>
      <c r="C35" s="5"/>
      <c r="D35" s="3" t="s">
        <v>9</v>
      </c>
      <c r="E35" s="4" t="s">
        <v>54</v>
      </c>
      <c r="F35" s="6"/>
    </row>
    <row r="36" spans="1:6" ht="15" x14ac:dyDescent="0.25">
      <c r="A36" s="3" t="s">
        <v>55</v>
      </c>
      <c r="B36" s="4" t="s">
        <v>56</v>
      </c>
      <c r="C36" s="5"/>
      <c r="D36" s="3" t="s">
        <v>9</v>
      </c>
      <c r="E36" s="4" t="s">
        <v>57</v>
      </c>
      <c r="F36" s="6"/>
    </row>
    <row r="37" spans="1:6" ht="15" x14ac:dyDescent="0.25">
      <c r="A37" s="3" t="s">
        <v>58</v>
      </c>
      <c r="B37" s="4" t="s">
        <v>59</v>
      </c>
      <c r="C37" s="5"/>
      <c r="D37" s="3" t="s">
        <v>9</v>
      </c>
      <c r="E37" s="4" t="s">
        <v>60</v>
      </c>
      <c r="F37" s="6"/>
    </row>
    <row r="38" spans="1:6" ht="15" x14ac:dyDescent="0.25">
      <c r="A38" s="3" t="s">
        <v>61</v>
      </c>
      <c r="B38" s="4" t="s">
        <v>62</v>
      </c>
      <c r="C38" s="5"/>
      <c r="D38" s="3" t="s">
        <v>9</v>
      </c>
      <c r="E38" s="4" t="s">
        <v>57</v>
      </c>
      <c r="F38" s="6"/>
    </row>
    <row r="39" spans="1:6" ht="15" x14ac:dyDescent="0.25">
      <c r="A39" s="3" t="s">
        <v>63</v>
      </c>
      <c r="B39" s="4"/>
      <c r="C39" s="5"/>
      <c r="D39" s="3" t="s">
        <v>9</v>
      </c>
      <c r="E39" s="4" t="s">
        <v>64</v>
      </c>
      <c r="F39" s="6"/>
    </row>
    <row r="40" spans="1:6" ht="15" x14ac:dyDescent="0.25">
      <c r="A40" s="3" t="s">
        <v>65</v>
      </c>
      <c r="B40" s="4"/>
      <c r="C40" s="5"/>
      <c r="D40" s="3" t="s">
        <v>9</v>
      </c>
      <c r="E40" s="4" t="s">
        <v>66</v>
      </c>
      <c r="F40" s="6"/>
    </row>
    <row r="41" spans="1:6" ht="15" x14ac:dyDescent="0.25">
      <c r="A41" s="3" t="s">
        <v>67</v>
      </c>
      <c r="B41" s="4" t="s">
        <v>68</v>
      </c>
      <c r="C41" s="5"/>
      <c r="D41" s="3" t="s">
        <v>9</v>
      </c>
      <c r="E41" s="4" t="s">
        <v>57</v>
      </c>
      <c r="F41" s="6"/>
    </row>
    <row r="42" spans="1:6" ht="15" x14ac:dyDescent="0.25">
      <c r="A42" s="8" t="s">
        <v>69</v>
      </c>
      <c r="B42" s="9"/>
      <c r="C42" s="10">
        <f>SUM(C32:C41)</f>
        <v>0</v>
      </c>
      <c r="D42" s="8" t="s">
        <v>9</v>
      </c>
      <c r="E42" s="9"/>
      <c r="F42" s="9"/>
    </row>
    <row r="43" spans="1:6" ht="24.95" customHeight="1" x14ac:dyDescent="0.15">
      <c r="A43" s="20" t="s">
        <v>70</v>
      </c>
      <c r="B43" s="19"/>
      <c r="C43" s="19"/>
      <c r="D43" s="19"/>
      <c r="E43" s="19"/>
      <c r="F43" s="19"/>
    </row>
    <row r="44" spans="1:6" ht="15" x14ac:dyDescent="0.25">
      <c r="A44" s="3" t="s">
        <v>71</v>
      </c>
      <c r="B44" s="4"/>
      <c r="C44" s="5"/>
      <c r="D44" s="3" t="s">
        <v>9</v>
      </c>
      <c r="E44" s="4"/>
      <c r="F44" s="6"/>
    </row>
    <row r="45" spans="1:6" ht="15" x14ac:dyDescent="0.25">
      <c r="A45" s="3" t="s">
        <v>72</v>
      </c>
      <c r="B45" s="4" t="s">
        <v>73</v>
      </c>
      <c r="C45" s="5"/>
      <c r="D45" s="3" t="s">
        <v>9</v>
      </c>
      <c r="E45" s="4"/>
      <c r="F45" s="6"/>
    </row>
    <row r="46" spans="1:6" ht="15" x14ac:dyDescent="0.25">
      <c r="A46" s="8" t="s">
        <v>74</v>
      </c>
      <c r="B46" s="9"/>
      <c r="C46" s="10">
        <f>SUM(C44:C45)</f>
        <v>0</v>
      </c>
      <c r="D46" s="8" t="s">
        <v>9</v>
      </c>
      <c r="E46" s="9"/>
      <c r="F46" s="9"/>
    </row>
    <row r="47" spans="1:6" ht="24.95" customHeight="1" x14ac:dyDescent="0.15">
      <c r="A47" s="20" t="s">
        <v>75</v>
      </c>
      <c r="B47" s="19"/>
      <c r="C47" s="19"/>
      <c r="D47" s="19"/>
      <c r="E47" s="19"/>
      <c r="F47" s="19"/>
    </row>
    <row r="48" spans="1:6" ht="15" x14ac:dyDescent="0.25">
      <c r="A48" s="3" t="s">
        <v>76</v>
      </c>
      <c r="B48" s="4" t="s">
        <v>77</v>
      </c>
      <c r="C48" s="5"/>
      <c r="D48" s="3" t="s">
        <v>9</v>
      </c>
      <c r="E48" s="4" t="s">
        <v>78</v>
      </c>
      <c r="F48" s="6"/>
    </row>
    <row r="49" spans="1:6" ht="15" x14ac:dyDescent="0.25">
      <c r="A49" s="3" t="s">
        <v>79</v>
      </c>
      <c r="B49" s="4"/>
      <c r="C49" s="5"/>
      <c r="D49" s="3" t="s">
        <v>9</v>
      </c>
      <c r="E49" s="4"/>
      <c r="F49" s="6"/>
    </row>
    <row r="50" spans="1:6" ht="15" x14ac:dyDescent="0.25">
      <c r="A50" s="3" t="s">
        <v>80</v>
      </c>
      <c r="B50" s="4" t="s">
        <v>81</v>
      </c>
      <c r="C50" s="5"/>
      <c r="D50" s="3" t="s">
        <v>9</v>
      </c>
      <c r="E50" s="4"/>
      <c r="F50" s="6"/>
    </row>
    <row r="51" spans="1:6" ht="15" x14ac:dyDescent="0.25">
      <c r="A51" s="8" t="s">
        <v>82</v>
      </c>
      <c r="B51" s="9"/>
      <c r="C51" s="10">
        <f>SUM(C48:C50)</f>
        <v>0</v>
      </c>
      <c r="D51" s="8" t="s">
        <v>9</v>
      </c>
      <c r="E51" s="9"/>
      <c r="F51" s="9"/>
    </row>
    <row r="53" spans="1:6" ht="30" customHeight="1" x14ac:dyDescent="0.25">
      <c r="A53" s="22" t="s">
        <v>83</v>
      </c>
      <c r="B53" s="23"/>
      <c r="C53" s="12">
        <f>C8+C19+C25+C30+C42+C46+C51</f>
        <v>0</v>
      </c>
      <c r="D53" s="13" t="s">
        <v>9</v>
      </c>
      <c r="E53" s="11"/>
      <c r="F53" s="11"/>
    </row>
    <row r="55" spans="1:6" x14ac:dyDescent="0.15">
      <c r="A55" s="24" t="s">
        <v>84</v>
      </c>
      <c r="B55" s="19"/>
      <c r="C55" s="19"/>
      <c r="D55" s="19"/>
      <c r="E55" s="19"/>
      <c r="F55" s="19"/>
    </row>
    <row r="56" spans="1:6" x14ac:dyDescent="0.15">
      <c r="A56" s="19"/>
      <c r="B56" s="19"/>
      <c r="C56" s="19"/>
      <c r="D56" s="19"/>
      <c r="E56" s="19"/>
      <c r="F56" s="19"/>
    </row>
    <row r="58" spans="1:6" ht="14.25" x14ac:dyDescent="0.2">
      <c r="A58" s="14" t="s">
        <v>85</v>
      </c>
    </row>
  </sheetData>
  <mergeCells count="12">
    <mergeCell ref="A53:B53"/>
    <mergeCell ref="A55:F56"/>
    <mergeCell ref="A43:F43"/>
    <mergeCell ref="E2:F2"/>
    <mergeCell ref="B2:C2"/>
    <mergeCell ref="A47:F47"/>
    <mergeCell ref="A1:F1"/>
    <mergeCell ref="A5:F5"/>
    <mergeCell ref="A9:F9"/>
    <mergeCell ref="A31:F31"/>
    <mergeCell ref="A26:F26"/>
    <mergeCell ref="A20:F20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F37"/>
  <sheetViews>
    <sheetView topLeftCell="A31" zoomScale="145" zoomScaleNormal="145" workbookViewId="0">
      <selection activeCell="B11" sqref="B11:C11"/>
    </sheetView>
  </sheetViews>
  <sheetFormatPr defaultRowHeight="13.5" x14ac:dyDescent="0.15"/>
  <cols>
    <col min="1" max="1" width="14" customWidth="1"/>
    <col min="2" max="2" width="22" customWidth="1"/>
    <col min="3" max="3" width="28" customWidth="1"/>
    <col min="4" max="6" width="16" customWidth="1"/>
  </cols>
  <sheetData>
    <row r="1" spans="1:6" ht="35.1" customHeight="1" x14ac:dyDescent="0.15">
      <c r="A1" s="21" t="s">
        <v>86</v>
      </c>
      <c r="B1" s="19"/>
      <c r="C1" s="19"/>
      <c r="D1" s="19"/>
      <c r="E1" s="19"/>
      <c r="F1" s="19"/>
    </row>
    <row r="3" spans="1:6" ht="15" x14ac:dyDescent="0.25">
      <c r="A3" s="1" t="s">
        <v>98</v>
      </c>
      <c r="B3" s="18"/>
      <c r="C3" s="19"/>
    </row>
    <row r="4" spans="1:6" ht="15" x14ac:dyDescent="0.25">
      <c r="D4" s="15" t="s">
        <v>87</v>
      </c>
      <c r="E4" s="5"/>
      <c r="F4" s="3" t="s">
        <v>9</v>
      </c>
    </row>
    <row r="5" spans="1:6" ht="15" x14ac:dyDescent="0.25">
      <c r="D5" s="15" t="s">
        <v>88</v>
      </c>
      <c r="E5" s="5"/>
      <c r="F5" s="3" t="s">
        <v>9</v>
      </c>
    </row>
    <row r="6" spans="1:6" ht="15" x14ac:dyDescent="0.25">
      <c r="D6" s="15" t="s">
        <v>99</v>
      </c>
      <c r="E6" s="7">
        <f>E4+E5</f>
        <v>0</v>
      </c>
      <c r="F6" s="3" t="s">
        <v>9</v>
      </c>
    </row>
    <row r="7" spans="1:6" ht="15" x14ac:dyDescent="0.25">
      <c r="D7" s="15" t="s">
        <v>100</v>
      </c>
      <c r="E7" s="5"/>
      <c r="F7" s="3" t="s">
        <v>9</v>
      </c>
    </row>
    <row r="8" spans="1:6" ht="15" x14ac:dyDescent="0.25">
      <c r="D8" s="15" t="s">
        <v>89</v>
      </c>
      <c r="E8" s="7">
        <f>E6-E7</f>
        <v>0</v>
      </c>
      <c r="F8" s="3" t="s">
        <v>9</v>
      </c>
    </row>
    <row r="10" spans="1:6" ht="14.25" x14ac:dyDescent="0.15">
      <c r="A10" s="2" t="s">
        <v>90</v>
      </c>
      <c r="B10" s="2" t="s">
        <v>91</v>
      </c>
      <c r="C10" s="2" t="s">
        <v>4</v>
      </c>
      <c r="D10" s="2" t="s">
        <v>111</v>
      </c>
      <c r="E10" s="2" t="s">
        <v>110</v>
      </c>
      <c r="F10" s="2" t="s">
        <v>92</v>
      </c>
    </row>
    <row r="11" spans="1:6" x14ac:dyDescent="0.15">
      <c r="A11" s="16"/>
      <c r="B11" s="26" t="s">
        <v>93</v>
      </c>
      <c r="C11" s="26" t="s">
        <v>94</v>
      </c>
      <c r="D11" s="25"/>
      <c r="E11" s="25"/>
      <c r="F11" s="7">
        <f>E4-D11</f>
        <v>0</v>
      </c>
    </row>
    <row r="12" spans="1:6" ht="14.25" x14ac:dyDescent="0.15">
      <c r="A12" s="16"/>
      <c r="B12" s="17"/>
      <c r="C12" s="4"/>
      <c r="D12" s="5"/>
      <c r="E12" s="5"/>
      <c r="F12" s="7">
        <f t="shared" ref="F12:F32" si="0">F11+D12+E12</f>
        <v>0</v>
      </c>
    </row>
    <row r="13" spans="1:6" ht="14.25" x14ac:dyDescent="0.15">
      <c r="A13" s="16"/>
      <c r="B13" s="17" t="s">
        <v>105</v>
      </c>
      <c r="C13" s="4" t="s">
        <v>106</v>
      </c>
      <c r="D13" s="5"/>
      <c r="E13" s="5"/>
      <c r="F13" s="7">
        <f t="shared" si="0"/>
        <v>0</v>
      </c>
    </row>
    <row r="14" spans="1:6" ht="14.25" x14ac:dyDescent="0.15">
      <c r="A14" s="16"/>
      <c r="B14" s="17" t="s">
        <v>101</v>
      </c>
      <c r="C14" s="4"/>
      <c r="D14" s="5"/>
      <c r="E14" s="5"/>
      <c r="F14" s="7">
        <f t="shared" si="0"/>
        <v>0</v>
      </c>
    </row>
    <row r="15" spans="1:6" ht="14.25" x14ac:dyDescent="0.15">
      <c r="A15" s="16"/>
      <c r="B15" s="17"/>
      <c r="C15" s="4"/>
      <c r="D15" s="5"/>
      <c r="E15" s="5"/>
      <c r="F15" s="7">
        <f t="shared" si="0"/>
        <v>0</v>
      </c>
    </row>
    <row r="16" spans="1:6" ht="14.25" x14ac:dyDescent="0.15">
      <c r="A16" s="16"/>
      <c r="B16" s="17" t="s">
        <v>102</v>
      </c>
      <c r="C16" s="4" t="s">
        <v>103</v>
      </c>
      <c r="D16" s="5"/>
      <c r="E16" s="5"/>
      <c r="F16" s="7">
        <f t="shared" si="0"/>
        <v>0</v>
      </c>
    </row>
    <row r="17" spans="1:6" ht="14.25" x14ac:dyDescent="0.15">
      <c r="A17" s="16"/>
      <c r="B17" s="17" t="s">
        <v>104</v>
      </c>
      <c r="C17" s="4"/>
      <c r="D17" s="5"/>
      <c r="E17" s="5"/>
      <c r="F17" s="7">
        <f t="shared" si="0"/>
        <v>0</v>
      </c>
    </row>
    <row r="18" spans="1:6" ht="14.25" x14ac:dyDescent="0.15">
      <c r="A18" s="16"/>
      <c r="B18" s="17"/>
      <c r="C18" s="4"/>
      <c r="D18" s="5"/>
      <c r="E18" s="5"/>
      <c r="F18" s="7">
        <f t="shared" si="0"/>
        <v>0</v>
      </c>
    </row>
    <row r="19" spans="1:6" ht="14.25" x14ac:dyDescent="0.15">
      <c r="A19" s="16"/>
      <c r="B19" s="17" t="s">
        <v>115</v>
      </c>
      <c r="C19" s="4"/>
      <c r="D19" s="5"/>
      <c r="E19" s="5"/>
      <c r="F19" s="7">
        <f t="shared" si="0"/>
        <v>0</v>
      </c>
    </row>
    <row r="20" spans="1:6" ht="14.25" x14ac:dyDescent="0.15">
      <c r="A20" s="16"/>
      <c r="B20" s="17" t="s">
        <v>102</v>
      </c>
      <c r="C20" s="4" t="s">
        <v>109</v>
      </c>
      <c r="D20" s="5"/>
      <c r="E20" s="5"/>
      <c r="F20" s="7">
        <f t="shared" si="0"/>
        <v>0</v>
      </c>
    </row>
    <row r="21" spans="1:6" ht="14.25" x14ac:dyDescent="0.15">
      <c r="A21" s="16"/>
      <c r="B21" s="17" t="s">
        <v>107</v>
      </c>
      <c r="C21" s="4" t="s">
        <v>108</v>
      </c>
      <c r="D21" s="5"/>
      <c r="E21" s="5"/>
      <c r="F21" s="7">
        <f t="shared" si="0"/>
        <v>0</v>
      </c>
    </row>
    <row r="22" spans="1:6" ht="14.25" x14ac:dyDescent="0.15">
      <c r="A22" s="16"/>
      <c r="B22" s="17"/>
      <c r="C22" s="4"/>
      <c r="D22" s="5"/>
      <c r="E22" s="5"/>
      <c r="F22" s="7">
        <f t="shared" si="0"/>
        <v>0</v>
      </c>
    </row>
    <row r="23" spans="1:6" ht="14.25" x14ac:dyDescent="0.15">
      <c r="A23" s="16"/>
      <c r="B23" s="17" t="s">
        <v>114</v>
      </c>
      <c r="C23" s="4"/>
      <c r="D23" s="5"/>
      <c r="E23" s="5"/>
      <c r="F23" s="7">
        <f t="shared" si="0"/>
        <v>0</v>
      </c>
    </row>
    <row r="24" spans="1:6" ht="14.25" x14ac:dyDescent="0.15">
      <c r="A24" s="16"/>
      <c r="B24" s="17" t="s">
        <v>102</v>
      </c>
      <c r="C24" s="4" t="s">
        <v>109</v>
      </c>
      <c r="D24" s="5"/>
      <c r="E24" s="5"/>
      <c r="F24" s="7">
        <f t="shared" si="0"/>
        <v>0</v>
      </c>
    </row>
    <row r="25" spans="1:6" ht="14.25" x14ac:dyDescent="0.15">
      <c r="A25" s="16"/>
      <c r="B25" s="17" t="s">
        <v>113</v>
      </c>
      <c r="C25" s="4" t="s">
        <v>112</v>
      </c>
      <c r="D25" s="5"/>
      <c r="E25" s="5"/>
      <c r="F25" s="7">
        <f t="shared" si="0"/>
        <v>0</v>
      </c>
    </row>
    <row r="26" spans="1:6" ht="14.25" x14ac:dyDescent="0.15">
      <c r="A26" s="16"/>
      <c r="B26" s="17"/>
      <c r="C26" s="4"/>
      <c r="D26" s="5"/>
      <c r="E26" s="5"/>
      <c r="F26" s="7">
        <f t="shared" si="0"/>
        <v>0</v>
      </c>
    </row>
    <row r="27" spans="1:6" ht="14.25" x14ac:dyDescent="0.15">
      <c r="A27" s="16"/>
      <c r="B27" s="17" t="s">
        <v>116</v>
      </c>
      <c r="C27" s="4"/>
      <c r="D27" s="5"/>
      <c r="E27" s="5"/>
      <c r="F27" s="7">
        <f t="shared" si="0"/>
        <v>0</v>
      </c>
    </row>
    <row r="28" spans="1:6" ht="14.25" x14ac:dyDescent="0.15">
      <c r="A28" s="16"/>
      <c r="B28" s="17" t="s">
        <v>102</v>
      </c>
      <c r="C28" s="4" t="s">
        <v>109</v>
      </c>
      <c r="D28" s="5"/>
      <c r="E28" s="5"/>
      <c r="F28" s="7">
        <f t="shared" si="0"/>
        <v>0</v>
      </c>
    </row>
    <row r="29" spans="1:6" ht="14.25" x14ac:dyDescent="0.15">
      <c r="A29" s="16"/>
      <c r="B29" s="17" t="s">
        <v>113</v>
      </c>
      <c r="C29" s="4" t="s">
        <v>117</v>
      </c>
      <c r="D29" s="5"/>
      <c r="E29" s="5"/>
      <c r="F29" s="7">
        <f t="shared" si="0"/>
        <v>0</v>
      </c>
    </row>
    <row r="30" spans="1:6" ht="14.25" x14ac:dyDescent="0.15">
      <c r="A30" s="16"/>
      <c r="B30" s="17"/>
      <c r="C30" s="4"/>
      <c r="D30" s="5"/>
      <c r="E30" s="5"/>
      <c r="F30" s="7">
        <f t="shared" si="0"/>
        <v>0</v>
      </c>
    </row>
    <row r="31" spans="1:6" ht="14.25" x14ac:dyDescent="0.15">
      <c r="A31" s="16"/>
      <c r="B31" s="17" t="s">
        <v>118</v>
      </c>
      <c r="C31" s="4"/>
      <c r="D31" s="5"/>
      <c r="E31" s="5"/>
      <c r="F31" s="7">
        <f t="shared" si="0"/>
        <v>0</v>
      </c>
    </row>
    <row r="32" spans="1:6" ht="14.25" x14ac:dyDescent="0.15">
      <c r="A32" s="16"/>
      <c r="B32" s="17"/>
      <c r="C32" s="4"/>
      <c r="D32" s="5"/>
      <c r="E32" s="5"/>
      <c r="F32" s="7">
        <f t="shared" si="0"/>
        <v>0</v>
      </c>
    </row>
    <row r="34" spans="1:6" x14ac:dyDescent="0.15">
      <c r="A34" s="24" t="s">
        <v>95</v>
      </c>
      <c r="B34" s="19"/>
      <c r="C34" s="19"/>
      <c r="D34" s="19"/>
      <c r="E34" s="19"/>
      <c r="F34" s="19"/>
    </row>
    <row r="35" spans="1:6" x14ac:dyDescent="0.15">
      <c r="A35" s="19"/>
      <c r="B35" s="19"/>
      <c r="C35" s="19"/>
      <c r="D35" s="19"/>
      <c r="E35" s="19"/>
      <c r="F35" s="19"/>
    </row>
    <row r="37" spans="1:6" ht="14.25" x14ac:dyDescent="0.2">
      <c r="A37" s="14" t="s">
        <v>85</v>
      </c>
    </row>
  </sheetData>
  <mergeCells count="3">
    <mergeCell ref="B3:C3"/>
    <mergeCell ref="A1:F1"/>
    <mergeCell ref="A34:F35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EA12-EE26-4639-B739-4E5BC951FDEC}">
  <sheetPr>
    <tabColor rgb="FF4472C4"/>
  </sheetPr>
  <dimension ref="A1:F37"/>
  <sheetViews>
    <sheetView zoomScale="145" zoomScaleNormal="145" workbookViewId="0">
      <selection activeCell="C5" sqref="C5"/>
    </sheetView>
  </sheetViews>
  <sheetFormatPr defaultRowHeight="13.5" x14ac:dyDescent="0.15"/>
  <cols>
    <col min="1" max="1" width="14" customWidth="1"/>
    <col min="2" max="2" width="22" customWidth="1"/>
    <col min="3" max="3" width="28" customWidth="1"/>
    <col min="4" max="6" width="16" customWidth="1"/>
  </cols>
  <sheetData>
    <row r="1" spans="1:6" ht="35.1" customHeight="1" x14ac:dyDescent="0.15">
      <c r="A1" s="21" t="s">
        <v>86</v>
      </c>
      <c r="B1" s="19"/>
      <c r="C1" s="19"/>
      <c r="D1" s="19"/>
      <c r="E1" s="19"/>
      <c r="F1" s="19"/>
    </row>
    <row r="3" spans="1:6" ht="15" x14ac:dyDescent="0.25">
      <c r="A3" s="1" t="s">
        <v>98</v>
      </c>
      <c r="B3" s="18"/>
      <c r="C3" s="19"/>
    </row>
    <row r="4" spans="1:6" ht="15" x14ac:dyDescent="0.25">
      <c r="D4" s="15" t="s">
        <v>87</v>
      </c>
      <c r="E4" s="5">
        <v>3000000</v>
      </c>
      <c r="F4" s="3" t="s">
        <v>9</v>
      </c>
    </row>
    <row r="5" spans="1:6" ht="15" x14ac:dyDescent="0.25">
      <c r="D5" s="15" t="s">
        <v>88</v>
      </c>
      <c r="E5" s="5">
        <v>50000000</v>
      </c>
      <c r="F5" s="3" t="s">
        <v>9</v>
      </c>
    </row>
    <row r="6" spans="1:6" ht="15" x14ac:dyDescent="0.25">
      <c r="D6" s="15" t="s">
        <v>99</v>
      </c>
      <c r="E6" s="7">
        <f>E4+E5</f>
        <v>53000000</v>
      </c>
      <c r="F6" s="3" t="s">
        <v>9</v>
      </c>
    </row>
    <row r="7" spans="1:6" ht="15" x14ac:dyDescent="0.25">
      <c r="D7" s="15" t="s">
        <v>100</v>
      </c>
      <c r="E7" s="5">
        <v>52500000</v>
      </c>
      <c r="F7" s="3" t="s">
        <v>9</v>
      </c>
    </row>
    <row r="8" spans="1:6" ht="15" x14ac:dyDescent="0.25">
      <c r="D8" s="15" t="s">
        <v>89</v>
      </c>
      <c r="E8" s="7">
        <f>E6-E7</f>
        <v>500000</v>
      </c>
      <c r="F8" s="3" t="s">
        <v>9</v>
      </c>
    </row>
    <row r="10" spans="1:6" ht="14.25" x14ac:dyDescent="0.15">
      <c r="A10" s="2" t="s">
        <v>90</v>
      </c>
      <c r="B10" s="2" t="s">
        <v>91</v>
      </c>
      <c r="C10" s="2" t="s">
        <v>4</v>
      </c>
      <c r="D10" s="2" t="s">
        <v>111</v>
      </c>
      <c r="E10" s="2" t="s">
        <v>110</v>
      </c>
      <c r="F10" s="2" t="s">
        <v>92</v>
      </c>
    </row>
    <row r="11" spans="1:6" x14ac:dyDescent="0.15">
      <c r="A11" s="16"/>
      <c r="B11" s="26" t="s">
        <v>93</v>
      </c>
      <c r="C11" s="26" t="s">
        <v>94</v>
      </c>
      <c r="D11" s="25"/>
      <c r="E11" s="25"/>
      <c r="F11" s="7">
        <f>E4-D11</f>
        <v>3000000</v>
      </c>
    </row>
    <row r="12" spans="1:6" ht="14.25" x14ac:dyDescent="0.15">
      <c r="A12" s="16"/>
      <c r="B12" s="17"/>
      <c r="C12" s="4"/>
      <c r="D12" s="5"/>
      <c r="E12" s="5"/>
      <c r="F12" s="7">
        <f t="shared" ref="F12:F32" si="0">F11+D12+E12</f>
        <v>3000000</v>
      </c>
    </row>
    <row r="13" spans="1:6" ht="14.25" x14ac:dyDescent="0.15">
      <c r="A13" s="16"/>
      <c r="B13" s="17" t="s">
        <v>105</v>
      </c>
      <c r="C13" s="4" t="s">
        <v>106</v>
      </c>
      <c r="D13" s="5"/>
      <c r="E13" s="5"/>
      <c r="F13" s="7">
        <f t="shared" si="0"/>
        <v>3000000</v>
      </c>
    </row>
    <row r="14" spans="1:6" ht="14.25" x14ac:dyDescent="0.15">
      <c r="A14" s="16"/>
      <c r="B14" s="17" t="s">
        <v>101</v>
      </c>
      <c r="C14" s="4"/>
      <c r="D14" s="5">
        <v>-500000</v>
      </c>
      <c r="E14" s="5"/>
      <c r="F14" s="7">
        <f t="shared" si="0"/>
        <v>2500000</v>
      </c>
    </row>
    <row r="15" spans="1:6" ht="14.25" x14ac:dyDescent="0.15">
      <c r="A15" s="16"/>
      <c r="B15" s="17"/>
      <c r="C15" s="4"/>
      <c r="D15" s="5"/>
      <c r="E15" s="5"/>
      <c r="F15" s="7">
        <f t="shared" si="0"/>
        <v>2500000</v>
      </c>
    </row>
    <row r="16" spans="1:6" ht="14.25" x14ac:dyDescent="0.15">
      <c r="A16" s="16"/>
      <c r="B16" s="17" t="s">
        <v>102</v>
      </c>
      <c r="C16" s="4" t="s">
        <v>103</v>
      </c>
      <c r="D16" s="5"/>
      <c r="E16" s="5">
        <v>20000000</v>
      </c>
      <c r="F16" s="7">
        <f t="shared" si="0"/>
        <v>22500000</v>
      </c>
    </row>
    <row r="17" spans="1:6" ht="14.25" x14ac:dyDescent="0.15">
      <c r="A17" s="16"/>
      <c r="B17" s="17" t="s">
        <v>104</v>
      </c>
      <c r="C17" s="4"/>
      <c r="D17" s="5"/>
      <c r="E17" s="5">
        <v>-20000000</v>
      </c>
      <c r="F17" s="7">
        <f t="shared" si="0"/>
        <v>2500000</v>
      </c>
    </row>
    <row r="18" spans="1:6" ht="14.25" x14ac:dyDescent="0.15">
      <c r="A18" s="16"/>
      <c r="B18" s="17"/>
      <c r="C18" s="4"/>
      <c r="D18" s="5"/>
      <c r="E18" s="5"/>
      <c r="F18" s="7">
        <f t="shared" si="0"/>
        <v>2500000</v>
      </c>
    </row>
    <row r="19" spans="1:6" ht="14.25" x14ac:dyDescent="0.15">
      <c r="A19" s="16"/>
      <c r="B19" s="17" t="s">
        <v>115</v>
      </c>
      <c r="C19" s="4"/>
      <c r="D19" s="5"/>
      <c r="E19" s="5"/>
      <c r="F19" s="7">
        <f t="shared" si="0"/>
        <v>2500000</v>
      </c>
    </row>
    <row r="20" spans="1:6" ht="14.25" x14ac:dyDescent="0.15">
      <c r="A20" s="16"/>
      <c r="B20" s="17" t="s">
        <v>102</v>
      </c>
      <c r="C20" s="4" t="s">
        <v>109</v>
      </c>
      <c r="D20" s="5"/>
      <c r="E20" s="5">
        <v>6400000</v>
      </c>
      <c r="F20" s="7">
        <f t="shared" si="0"/>
        <v>8900000</v>
      </c>
    </row>
    <row r="21" spans="1:6" ht="14.25" x14ac:dyDescent="0.15">
      <c r="A21" s="16"/>
      <c r="B21" s="17" t="s">
        <v>107</v>
      </c>
      <c r="C21" s="4" t="s">
        <v>108</v>
      </c>
      <c r="D21" s="5"/>
      <c r="E21" s="5">
        <v>-6400000</v>
      </c>
      <c r="F21" s="7">
        <f t="shared" si="0"/>
        <v>2500000</v>
      </c>
    </row>
    <row r="22" spans="1:6" ht="14.25" x14ac:dyDescent="0.15">
      <c r="A22" s="16"/>
      <c r="B22" s="17"/>
      <c r="C22" s="4"/>
      <c r="D22" s="5"/>
      <c r="E22" s="5"/>
      <c r="F22" s="7">
        <f t="shared" si="0"/>
        <v>2500000</v>
      </c>
    </row>
    <row r="23" spans="1:6" ht="14.25" x14ac:dyDescent="0.15">
      <c r="A23" s="16"/>
      <c r="B23" s="17" t="s">
        <v>114</v>
      </c>
      <c r="C23" s="4"/>
      <c r="D23" s="5"/>
      <c r="E23" s="5"/>
      <c r="F23" s="7">
        <f t="shared" si="0"/>
        <v>2500000</v>
      </c>
    </row>
    <row r="24" spans="1:6" ht="14.25" x14ac:dyDescent="0.15">
      <c r="A24" s="16"/>
      <c r="B24" s="17" t="s">
        <v>102</v>
      </c>
      <c r="C24" s="4" t="s">
        <v>109</v>
      </c>
      <c r="D24" s="5"/>
      <c r="E24" s="5">
        <v>9600000</v>
      </c>
      <c r="F24" s="7">
        <f t="shared" si="0"/>
        <v>12100000</v>
      </c>
    </row>
    <row r="25" spans="1:6" ht="14.25" x14ac:dyDescent="0.15">
      <c r="A25" s="16"/>
      <c r="B25" s="17" t="s">
        <v>113</v>
      </c>
      <c r="C25" s="4" t="s">
        <v>112</v>
      </c>
      <c r="D25" s="5"/>
      <c r="E25" s="5">
        <v>-9600000</v>
      </c>
      <c r="F25" s="7">
        <f t="shared" si="0"/>
        <v>2500000</v>
      </c>
    </row>
    <row r="26" spans="1:6" ht="14.25" x14ac:dyDescent="0.15">
      <c r="A26" s="16"/>
      <c r="B26" s="17"/>
      <c r="C26" s="4"/>
      <c r="D26" s="5"/>
      <c r="E26" s="5"/>
      <c r="F26" s="7">
        <f t="shared" si="0"/>
        <v>2500000</v>
      </c>
    </row>
    <row r="27" spans="1:6" ht="14.25" x14ac:dyDescent="0.15">
      <c r="A27" s="16"/>
      <c r="B27" s="17" t="s">
        <v>116</v>
      </c>
      <c r="C27" s="4"/>
      <c r="D27" s="5"/>
      <c r="E27" s="5"/>
      <c r="F27" s="7">
        <f t="shared" si="0"/>
        <v>2500000</v>
      </c>
    </row>
    <row r="28" spans="1:6" ht="14.25" x14ac:dyDescent="0.15">
      <c r="A28" s="16"/>
      <c r="B28" s="17" t="s">
        <v>102</v>
      </c>
      <c r="C28" s="4" t="s">
        <v>109</v>
      </c>
      <c r="D28" s="5"/>
      <c r="E28" s="5">
        <v>16000000</v>
      </c>
      <c r="F28" s="7">
        <f t="shared" si="0"/>
        <v>18500000</v>
      </c>
    </row>
    <row r="29" spans="1:6" ht="14.25" x14ac:dyDescent="0.15">
      <c r="A29" s="16"/>
      <c r="B29" s="17" t="s">
        <v>113</v>
      </c>
      <c r="C29" s="4" t="s">
        <v>117</v>
      </c>
      <c r="D29" s="5"/>
      <c r="E29" s="5">
        <v>-16000000</v>
      </c>
      <c r="F29" s="7">
        <f t="shared" si="0"/>
        <v>2500000</v>
      </c>
    </row>
    <row r="30" spans="1:6" ht="14.25" x14ac:dyDescent="0.15">
      <c r="A30" s="16"/>
      <c r="B30" s="17"/>
      <c r="C30" s="4"/>
      <c r="D30" s="5"/>
      <c r="E30" s="5"/>
      <c r="F30" s="7">
        <f t="shared" si="0"/>
        <v>2500000</v>
      </c>
    </row>
    <row r="31" spans="1:6" ht="14.25" x14ac:dyDescent="0.15">
      <c r="A31" s="16"/>
      <c r="B31" s="17" t="s">
        <v>118</v>
      </c>
      <c r="C31" s="4"/>
      <c r="D31" s="5">
        <v>-2000000</v>
      </c>
      <c r="E31" s="5"/>
      <c r="F31" s="7">
        <f t="shared" si="0"/>
        <v>500000</v>
      </c>
    </row>
    <row r="32" spans="1:6" ht="14.25" x14ac:dyDescent="0.15">
      <c r="A32" s="16"/>
      <c r="B32" s="17"/>
      <c r="C32" s="4"/>
      <c r="D32" s="5"/>
      <c r="E32" s="5"/>
      <c r="F32" s="7">
        <f t="shared" si="0"/>
        <v>500000</v>
      </c>
    </row>
    <row r="34" spans="1:6" x14ac:dyDescent="0.15">
      <c r="A34" s="24" t="s">
        <v>95</v>
      </c>
      <c r="B34" s="19"/>
      <c r="C34" s="19"/>
      <c r="D34" s="19"/>
      <c r="E34" s="19"/>
      <c r="F34" s="19"/>
    </row>
    <row r="35" spans="1:6" x14ac:dyDescent="0.15">
      <c r="A35" s="19"/>
      <c r="B35" s="19"/>
      <c r="C35" s="19"/>
      <c r="D35" s="19"/>
      <c r="E35" s="19"/>
      <c r="F35" s="19"/>
    </row>
    <row r="37" spans="1:6" ht="14.25" x14ac:dyDescent="0.2">
      <c r="A37" s="14" t="s">
        <v>85</v>
      </c>
    </row>
  </sheetData>
  <mergeCells count="3">
    <mergeCell ref="A1:F1"/>
    <mergeCell ref="B3:C3"/>
    <mergeCell ref="A34:F35"/>
  </mergeCells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総予算計画書</vt:lpstr>
      <vt:lpstr>支払い計画表</vt:lpstr>
      <vt:lpstr>支払い計画表 (見本)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義正 福永</cp:lastModifiedBy>
  <dcterms:created xsi:type="dcterms:W3CDTF">2026-03-16T23:54:52Z</dcterms:created>
  <dcterms:modified xsi:type="dcterms:W3CDTF">2026-03-17T02:40:45Z</dcterms:modified>
</cp:coreProperties>
</file>