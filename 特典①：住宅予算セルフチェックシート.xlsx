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マイドライブ\ハウスインフォ\08 個人デスクトップ\福永義正\AI福永義正\note有料記事プロジェクト\"/>
    </mc:Choice>
  </mc:AlternateContent>
  <xr:revisionPtr revIDLastSave="0" documentId="13_ncr:1_{FBB16DDF-A8AF-43D5-AE06-427E0B2ED6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本情報入力" sheetId="1" r:id="rId1"/>
    <sheet name="住宅予算計算" sheetId="2" r:id="rId2"/>
    <sheet name="判断基準メ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2" l="1"/>
  <c r="C34" i="2"/>
  <c r="C33" i="2"/>
  <c r="C27" i="2"/>
  <c r="C29" i="2" s="1"/>
  <c r="C5" i="2"/>
  <c r="C7" i="2" s="1"/>
  <c r="C6" i="2" l="1"/>
  <c r="D14" i="2" l="1"/>
  <c r="C14" i="2"/>
  <c r="D13" i="2"/>
  <c r="C13" i="2"/>
  <c r="E12" i="2"/>
  <c r="D12" i="2"/>
  <c r="E14" i="2"/>
  <c r="C12" i="2"/>
  <c r="E13" i="2"/>
  <c r="C8" i="2"/>
</calcChain>
</file>

<file path=xl/sharedStrings.xml><?xml version="1.0" encoding="utf-8"?>
<sst xmlns="http://schemas.openxmlformats.org/spreadsheetml/2006/main" count="89" uniqueCount="73">
  <si>
    <t>住宅予算セルフチェックシート</t>
  </si>
  <si>
    <t>福永義正（一級建築士）監修</t>
  </si>
  <si>
    <t>世帯の基本情報</t>
  </si>
  <si>
    <t>世帯年収</t>
  </si>
  <si>
    <t>万円</t>
  </si>
  <si>
    <t>手取り月収</t>
  </si>
  <si>
    <t>現在の年齢（ご本人）</t>
  </si>
  <si>
    <t>歳</t>
  </si>
  <si>
    <t>配偶者の年齢</t>
  </si>
  <si>
    <t>子どもの人数</t>
  </si>
  <si>
    <t>人</t>
  </si>
  <si>
    <t>子ども①の年齢</t>
  </si>
  <si>
    <t>子ども②の年齢</t>
  </si>
  <si>
    <t>子ども③の年齢</t>
  </si>
  <si>
    <t>現在の家計状況</t>
  </si>
  <si>
    <t>現在の貯蓄額</t>
  </si>
  <si>
    <t>毎月の生活費</t>
  </si>
  <si>
    <t>現在の家賃</t>
  </si>
  <si>
    <t>※ 黄色のセルに数値を入力してください</t>
  </si>
  <si>
    <t>※ 入力後「住宅予算計算」シートで結果を確認できます</t>
  </si>
  <si>
    <t>住宅予算の目安計算</t>
  </si>
  <si>
    <t>セクション1：返済可能額の計算</t>
  </si>
  <si>
    <t>手取り月収（基本情報より）</t>
  </si>
  <si>
    <t>月々返済の安全ライン（25%）</t>
  </si>
  <si>
    <t>万円/月</t>
  </si>
  <si>
    <t>← 推奨ライン</t>
  </si>
  <si>
    <t>月々返済の上限ライン（30%）</t>
  </si>
  <si>
    <t>← これ以上は要注意</t>
  </si>
  <si>
    <t>年間返済額（安全ライン）</t>
  </si>
  <si>
    <t>万円/年</t>
  </si>
  <si>
    <t>セクション2：借入可能額の目安（安全ライン基準）</t>
  </si>
  <si>
    <t>35年返済</t>
  </si>
  <si>
    <t>30年返済</t>
  </si>
  <si>
    <t>25年返済</t>
  </si>
  <si>
    <t>金利 1.0% の場合</t>
  </si>
  <si>
    <t>金利 1.5% の場合</t>
  </si>
  <si>
    <t>金利 2.0% の場合</t>
  </si>
  <si>
    <t>※ 単位：万円。概算値です。実際の借入条件は金融機関にご確認ください</t>
  </si>
  <si>
    <t>セクション3：総予算の内訳チェック</t>
  </si>
  <si>
    <t>項目</t>
  </si>
  <si>
    <t>金額（万円）</t>
  </si>
  <si>
    <t>目安金額</t>
  </si>
  <si>
    <t>土地代</t>
  </si>
  <si>
    <t>建物本体</t>
  </si>
  <si>
    <t>外構費用</t>
  </si>
  <si>
    <t>目安：150〜300万円</t>
  </si>
  <si>
    <t>地盤改良費</t>
  </si>
  <si>
    <t>目安：50〜150万円</t>
  </si>
  <si>
    <t>カーテン・照明・AC</t>
  </si>
  <si>
    <t>目安：100〜200万円</t>
  </si>
  <si>
    <t>登記・各種手数料</t>
  </si>
  <si>
    <t>目安：50〜100万円</t>
  </si>
  <si>
    <t>引っ越し・仮住まい</t>
  </si>
  <si>
    <t>目安：30〜80万円</t>
  </si>
  <si>
    <t>その他</t>
  </si>
  <si>
    <t>合計</t>
  </si>
  <si>
    <t>自己資金（頭金＋諸費用用）</t>
  </si>
  <si>
    <t>必要借入額</t>
  </si>
  <si>
    <t>セクション4：ライフプラン確認</t>
  </si>
  <si>
    <t>希望返済期間</t>
  </si>
  <si>
    <t>年</t>
  </si>
  <si>
    <t>住宅ローン完済年齢</t>
  </si>
  <si>
    <t>子①の大学入学時（あなたの年齢）</t>
  </si>
  <si>
    <t>子②の大学入学時（あなたの年齢）</t>
  </si>
  <si>
    <t>注意：完済年齢が65歳を超える場合は返済期間の短縮を検討してください。教育費のピーク時期とローン返済が重なる場合は、資金計画の見直しをお勧めします。</t>
  </si>
  <si>
    <t>家づくりの判断基準メモ</t>
  </si>
  <si>
    <t>設計打ち合わせの前に、ご家族で話し合って記入してください</t>
  </si>
  <si>
    <t>「なぜ家を建てるのか」── 目的を一言で</t>
  </si>
  <si>
    <t>5年後の暮らしのイメージ</t>
  </si>
  <si>
    <t>10年後の暮らしのイメージ</t>
  </si>
  <si>
    <t>家族にとって絶対に譲れないこと（1つだけ）</t>
  </si>
  <si>
    <t>逆に「なくてもいい」と思えること</t>
  </si>
  <si>
    <t>家に求める「空気感」（例：静か／明るい／開放的／落ち着き）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</si>
</sst>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scheme val="minor"/>
    </font>
    <font>
      <b/>
      <sz val="14"/>
      <color rgb="FF1F4E79"/>
      <name val="Arial"/>
    </font>
    <font>
      <sz val="10"/>
      <color rgb="FF808080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i/>
      <sz val="9"/>
      <color rgb="FF808080"/>
      <name val="Arial"/>
    </font>
    <font>
      <b/>
      <sz val="11"/>
      <color rgb="FF000000"/>
      <name val="Arial"/>
    </font>
    <font>
      <b/>
      <sz val="10"/>
      <color rgb="FF008000"/>
      <name val="Arial"/>
    </font>
    <font>
      <b/>
      <sz val="10"/>
      <color rgb="FFFF0000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name val="Arial"/>
    </font>
    <font>
      <b/>
      <sz val="11"/>
      <color rgb="FFFF0000"/>
      <name val="Arial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7" fillId="4" borderId="1" xfId="0" applyFont="1" applyFill="1" applyBorder="1" applyAlignment="1">
      <alignment horizontal="right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6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3" fillId="4" borderId="1" xfId="0" applyFont="1" applyFill="1" applyBorder="1" applyAlignment="1">
      <alignment horizontal="right"/>
    </xf>
    <xf numFmtId="0" fontId="4" fillId="3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tabSelected="1" workbookViewId="0">
      <selection activeCell="C28" sqref="C28"/>
    </sheetView>
  </sheetViews>
  <sheetFormatPr defaultRowHeight="13.5" x14ac:dyDescent="0.15"/>
  <cols>
    <col min="1" max="1" width="5" customWidth="1"/>
    <col min="2" max="2" width="35" customWidth="1"/>
    <col min="3" max="3" width="18" customWidth="1"/>
    <col min="4" max="4" width="12" customWidth="1"/>
    <col min="5" max="5" width="30" customWidth="1"/>
  </cols>
  <sheetData>
    <row r="2" spans="2:5" ht="18" x14ac:dyDescent="0.25">
      <c r="B2" s="22" t="s">
        <v>0</v>
      </c>
      <c r="C2" s="21"/>
      <c r="D2" s="21"/>
      <c r="E2" s="21"/>
    </row>
    <row r="3" spans="2:5" ht="14.25" x14ac:dyDescent="0.2">
      <c r="B3" s="20" t="s">
        <v>1</v>
      </c>
      <c r="C3" s="21"/>
      <c r="D3" s="21"/>
      <c r="E3" s="21"/>
    </row>
    <row r="5" spans="2:5" ht="15" x14ac:dyDescent="0.15">
      <c r="B5" s="17" t="s">
        <v>2</v>
      </c>
      <c r="C5" s="18"/>
      <c r="D5" s="19"/>
    </row>
    <row r="6" spans="2:5" ht="14.25" x14ac:dyDescent="0.2">
      <c r="B6" s="3" t="s">
        <v>3</v>
      </c>
      <c r="C6" s="4"/>
      <c r="D6" s="3" t="s">
        <v>4</v>
      </c>
    </row>
    <row r="7" spans="2:5" ht="14.25" x14ac:dyDescent="0.2">
      <c r="B7" s="3" t="s">
        <v>5</v>
      </c>
      <c r="C7" s="4"/>
      <c r="D7" s="3" t="s">
        <v>4</v>
      </c>
    </row>
    <row r="8" spans="2:5" ht="14.25" x14ac:dyDescent="0.2">
      <c r="B8" s="3" t="s">
        <v>6</v>
      </c>
      <c r="C8" s="4"/>
      <c r="D8" s="3" t="s">
        <v>7</v>
      </c>
    </row>
    <row r="9" spans="2:5" ht="14.25" x14ac:dyDescent="0.2">
      <c r="B9" s="3" t="s">
        <v>8</v>
      </c>
      <c r="C9" s="4"/>
      <c r="D9" s="3" t="s">
        <v>7</v>
      </c>
    </row>
    <row r="10" spans="2:5" ht="14.25" x14ac:dyDescent="0.2">
      <c r="B10" s="3" t="s">
        <v>9</v>
      </c>
      <c r="C10" s="4"/>
      <c r="D10" s="3" t="s">
        <v>10</v>
      </c>
    </row>
    <row r="11" spans="2:5" ht="14.25" x14ac:dyDescent="0.2">
      <c r="B11" s="3" t="s">
        <v>11</v>
      </c>
      <c r="C11" s="4"/>
      <c r="D11" s="3" t="s">
        <v>7</v>
      </c>
    </row>
    <row r="12" spans="2:5" ht="14.25" x14ac:dyDescent="0.2">
      <c r="B12" s="3" t="s">
        <v>12</v>
      </c>
      <c r="C12" s="4"/>
      <c r="D12" s="3" t="s">
        <v>7</v>
      </c>
    </row>
    <row r="13" spans="2:5" ht="14.25" x14ac:dyDescent="0.2">
      <c r="B13" s="3" t="s">
        <v>13</v>
      </c>
      <c r="C13" s="4"/>
      <c r="D13" s="3" t="s">
        <v>7</v>
      </c>
    </row>
    <row r="15" spans="2:5" ht="15" x14ac:dyDescent="0.15">
      <c r="B15" s="17" t="s">
        <v>14</v>
      </c>
      <c r="C15" s="18"/>
      <c r="D15" s="19"/>
    </row>
    <row r="16" spans="2:5" ht="14.25" x14ac:dyDescent="0.2">
      <c r="B16" s="3" t="s">
        <v>15</v>
      </c>
      <c r="C16" s="4"/>
      <c r="D16" s="3" t="s">
        <v>4</v>
      </c>
    </row>
    <row r="17" spans="2:4" ht="14.25" x14ac:dyDescent="0.2">
      <c r="B17" s="3" t="s">
        <v>16</v>
      </c>
      <c r="C17" s="4"/>
      <c r="D17" s="3" t="s">
        <v>4</v>
      </c>
    </row>
    <row r="18" spans="2:4" ht="14.25" x14ac:dyDescent="0.2">
      <c r="B18" s="3" t="s">
        <v>17</v>
      </c>
      <c r="C18" s="4"/>
      <c r="D18" s="3" t="s">
        <v>4</v>
      </c>
    </row>
    <row r="20" spans="2:4" ht="14.25" x14ac:dyDescent="0.2">
      <c r="B20" s="5" t="s">
        <v>18</v>
      </c>
    </row>
    <row r="21" spans="2:4" ht="14.25" x14ac:dyDescent="0.2">
      <c r="B21" s="5" t="s">
        <v>19</v>
      </c>
    </row>
  </sheetData>
  <mergeCells count="4">
    <mergeCell ref="B15:D15"/>
    <mergeCell ref="B5:D5"/>
    <mergeCell ref="B3:E3"/>
    <mergeCell ref="B2:E2"/>
  </mergeCells>
  <phoneticPr fontId="1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8"/>
  <sheetViews>
    <sheetView workbookViewId="0">
      <selection activeCell="F38" sqref="F38"/>
    </sheetView>
  </sheetViews>
  <sheetFormatPr defaultRowHeight="13.5" x14ac:dyDescent="0.15"/>
  <cols>
    <col min="1" max="1" width="5" customWidth="1"/>
    <col min="2" max="2" width="40" customWidth="1"/>
    <col min="3" max="5" width="18" customWidth="1"/>
    <col min="6" max="6" width="28" customWidth="1"/>
  </cols>
  <sheetData>
    <row r="2" spans="2:5" ht="18" x14ac:dyDescent="0.25">
      <c r="B2" s="22" t="s">
        <v>20</v>
      </c>
      <c r="C2" s="21"/>
      <c r="D2" s="21"/>
      <c r="E2" s="21"/>
    </row>
    <row r="4" spans="2:5" ht="15" x14ac:dyDescent="0.15">
      <c r="B4" s="17" t="s">
        <v>21</v>
      </c>
      <c r="C4" s="18"/>
      <c r="D4" s="18"/>
      <c r="E4" s="19"/>
    </row>
    <row r="5" spans="2:5" ht="15" x14ac:dyDescent="0.25">
      <c r="B5" s="3" t="s">
        <v>22</v>
      </c>
      <c r="C5" s="6">
        <f>基本情報入力!C7</f>
        <v>0</v>
      </c>
      <c r="D5" s="3" t="s">
        <v>4</v>
      </c>
    </row>
    <row r="6" spans="2:5" ht="15" x14ac:dyDescent="0.25">
      <c r="B6" s="3" t="s">
        <v>23</v>
      </c>
      <c r="C6" s="6">
        <f>IF(C5="","",C5*0.25)</f>
        <v>0</v>
      </c>
      <c r="D6" s="3" t="s">
        <v>24</v>
      </c>
      <c r="E6" s="7" t="s">
        <v>25</v>
      </c>
    </row>
    <row r="7" spans="2:5" ht="15" x14ac:dyDescent="0.25">
      <c r="B7" s="3" t="s">
        <v>26</v>
      </c>
      <c r="C7" s="6">
        <f>IF(C5="","",C5*0.3)</f>
        <v>0</v>
      </c>
      <c r="D7" s="3" t="s">
        <v>24</v>
      </c>
      <c r="E7" s="8" t="s">
        <v>27</v>
      </c>
    </row>
    <row r="8" spans="2:5" ht="15" x14ac:dyDescent="0.25">
      <c r="B8" s="3" t="s">
        <v>28</v>
      </c>
      <c r="C8" s="6">
        <f>IF(C6="","",C6*12)</f>
        <v>0</v>
      </c>
      <c r="D8" s="3" t="s">
        <v>29</v>
      </c>
    </row>
    <row r="10" spans="2:5" ht="15" x14ac:dyDescent="0.15">
      <c r="B10" s="17" t="s">
        <v>30</v>
      </c>
      <c r="C10" s="18"/>
      <c r="D10" s="18"/>
      <c r="E10" s="19"/>
    </row>
    <row r="11" spans="2:5" ht="14.25" x14ac:dyDescent="0.2">
      <c r="B11" s="3"/>
      <c r="C11" s="9" t="s">
        <v>31</v>
      </c>
      <c r="D11" s="9" t="s">
        <v>32</v>
      </c>
      <c r="E11" s="9" t="s">
        <v>33</v>
      </c>
    </row>
    <row r="12" spans="2:5" ht="15" x14ac:dyDescent="0.25">
      <c r="B12" s="3" t="s">
        <v>34</v>
      </c>
      <c r="C12" s="6">
        <f>IF(C6="","",ROUND(C6/(1/100/12/(1-(1+1/100/12)^(-420)))/10,0))</f>
        <v>0</v>
      </c>
      <c r="D12" s="6">
        <f>IF(C6="","",ROUND(C6/(1/100/12/(1-(1+1/100/12)^(-360)))/10,0))</f>
        <v>0</v>
      </c>
      <c r="E12" s="6">
        <f>IF(C6="","",ROUND(C6/(1/100/12/(1-(1+1/100/12)^(-300)))/10,0))</f>
        <v>0</v>
      </c>
    </row>
    <row r="13" spans="2:5" ht="15" x14ac:dyDescent="0.25">
      <c r="B13" s="3" t="s">
        <v>35</v>
      </c>
      <c r="C13" s="6">
        <f>IF(C6="","",ROUND(C6/(1.5/100/12/(1-(1+1.5/100/12)^(-420)))/10,0))</f>
        <v>0</v>
      </c>
      <c r="D13" s="6">
        <f>IF(C6="","",ROUND(C6/(1.5/100/12/(1-(1+1.5/100/12)^(-360)))/10,0))</f>
        <v>0</v>
      </c>
      <c r="E13" s="6">
        <f>IF(C6="","",ROUND(C6/(1.5/100/12/(1-(1+1.5/100/12)^(-300)))/10,0))</f>
        <v>0</v>
      </c>
    </row>
    <row r="14" spans="2:5" ht="15" x14ac:dyDescent="0.25">
      <c r="B14" s="3" t="s">
        <v>36</v>
      </c>
      <c r="C14" s="6">
        <f>IF(C6="","",ROUND(C6/(2/100/12/(1-(1+2/100/12)^(-420)))/10,0))</f>
        <v>0</v>
      </c>
      <c r="D14" s="6">
        <f>IF(C6="","",ROUND(C6/(2/100/12/(1-(1+2/100/12)^(-360)))/10,0))</f>
        <v>0</v>
      </c>
      <c r="E14" s="6">
        <f>IF(C6="","",ROUND(C6/(2/100/12/(1-(1+2/100/12)^(-300)))/10,0))</f>
        <v>0</v>
      </c>
    </row>
    <row r="15" spans="2:5" ht="14.25" x14ac:dyDescent="0.2">
      <c r="B15" s="5" t="s">
        <v>37</v>
      </c>
    </row>
    <row r="17" spans="2:5" ht="15" x14ac:dyDescent="0.15">
      <c r="B17" s="17" t="s">
        <v>38</v>
      </c>
      <c r="C17" s="18"/>
      <c r="D17" s="19"/>
    </row>
    <row r="18" spans="2:5" ht="14.25" x14ac:dyDescent="0.2">
      <c r="B18" s="10" t="s">
        <v>39</v>
      </c>
      <c r="C18" s="10" t="s">
        <v>40</v>
      </c>
      <c r="D18" s="10" t="s">
        <v>41</v>
      </c>
    </row>
    <row r="19" spans="2:5" ht="14.25" x14ac:dyDescent="0.2">
      <c r="B19" s="3" t="s">
        <v>42</v>
      </c>
      <c r="C19" s="11"/>
      <c r="D19" s="12"/>
    </row>
    <row r="20" spans="2:5" ht="14.25" x14ac:dyDescent="0.2">
      <c r="B20" s="3" t="s">
        <v>43</v>
      </c>
      <c r="C20" s="11"/>
      <c r="D20" s="12"/>
    </row>
    <row r="21" spans="2:5" ht="14.25" x14ac:dyDescent="0.2">
      <c r="B21" s="3" t="s">
        <v>44</v>
      </c>
      <c r="C21" s="11"/>
      <c r="D21" s="12" t="s">
        <v>45</v>
      </c>
    </row>
    <row r="22" spans="2:5" ht="14.25" x14ac:dyDescent="0.2">
      <c r="B22" s="3" t="s">
        <v>46</v>
      </c>
      <c r="C22" s="11"/>
      <c r="D22" s="12" t="s">
        <v>47</v>
      </c>
    </row>
    <row r="23" spans="2:5" ht="14.25" x14ac:dyDescent="0.2">
      <c r="B23" s="3" t="s">
        <v>48</v>
      </c>
      <c r="C23" s="11"/>
      <c r="D23" s="12" t="s">
        <v>49</v>
      </c>
    </row>
    <row r="24" spans="2:5" ht="14.25" x14ac:dyDescent="0.2">
      <c r="B24" s="3" t="s">
        <v>50</v>
      </c>
      <c r="C24" s="11"/>
      <c r="D24" s="12" t="s">
        <v>51</v>
      </c>
    </row>
    <row r="25" spans="2:5" ht="14.25" x14ac:dyDescent="0.2">
      <c r="B25" s="3" t="s">
        <v>52</v>
      </c>
      <c r="C25" s="11"/>
      <c r="D25" s="12" t="s">
        <v>53</v>
      </c>
    </row>
    <row r="26" spans="2:5" ht="14.25" x14ac:dyDescent="0.2">
      <c r="B26" s="3" t="s">
        <v>54</v>
      </c>
      <c r="C26" s="11"/>
      <c r="D26" s="12"/>
    </row>
    <row r="27" spans="2:5" ht="15" x14ac:dyDescent="0.25">
      <c r="B27" s="13" t="s">
        <v>55</v>
      </c>
      <c r="C27" s="6">
        <f>SUM(C19:C26)</f>
        <v>0</v>
      </c>
      <c r="D27" s="3" t="s">
        <v>4</v>
      </c>
    </row>
    <row r="28" spans="2:5" ht="14.25" x14ac:dyDescent="0.2">
      <c r="B28" s="3" t="s">
        <v>56</v>
      </c>
      <c r="C28" s="11"/>
      <c r="D28" s="3" t="s">
        <v>4</v>
      </c>
    </row>
    <row r="29" spans="2:5" ht="15" x14ac:dyDescent="0.25">
      <c r="B29" s="14" t="s">
        <v>57</v>
      </c>
      <c r="C29" s="15" t="str">
        <f>IF(OR(C27="",C28=""),"",C27-C28)</f>
        <v/>
      </c>
      <c r="D29" s="3" t="s">
        <v>4</v>
      </c>
    </row>
    <row r="31" spans="2:5" ht="15" x14ac:dyDescent="0.15">
      <c r="B31" s="17" t="s">
        <v>58</v>
      </c>
      <c r="C31" s="18"/>
      <c r="D31" s="18"/>
      <c r="E31" s="19"/>
    </row>
    <row r="32" spans="2:5" ht="14.25" x14ac:dyDescent="0.2">
      <c r="B32" s="3" t="s">
        <v>59</v>
      </c>
      <c r="C32" s="11"/>
      <c r="D32" s="3" t="s">
        <v>60</v>
      </c>
    </row>
    <row r="33" spans="2:5" ht="15" x14ac:dyDescent="0.25">
      <c r="B33" s="3" t="s">
        <v>61</v>
      </c>
      <c r="C33" s="6" t="str">
        <f>IF(OR(C32="",基本情報入力!C8=""),"",基本情報入力!C8+C32)</f>
        <v/>
      </c>
      <c r="D33" s="3" t="s">
        <v>7</v>
      </c>
    </row>
    <row r="34" spans="2:5" ht="15" x14ac:dyDescent="0.25">
      <c r="B34" s="3" t="s">
        <v>62</v>
      </c>
      <c r="C34" s="6" t="str">
        <f>IF(OR(基本情報入力!C8="",基本情報入力!C11=""),"",基本情報入力!C8+(18-基本情報入力!C11))</f>
        <v/>
      </c>
      <c r="D34" s="3" t="s">
        <v>7</v>
      </c>
    </row>
    <row r="35" spans="2:5" ht="15" x14ac:dyDescent="0.25">
      <c r="B35" s="3" t="s">
        <v>63</v>
      </c>
      <c r="C35" s="6" t="str">
        <f>IF(OR(基本情報入力!C8="",基本情報入力!C12=""),"",基本情報入力!C8+(18-基本情報入力!C12))</f>
        <v/>
      </c>
      <c r="D35" s="3" t="s">
        <v>7</v>
      </c>
    </row>
    <row r="37" spans="2:5" x14ac:dyDescent="0.15">
      <c r="B37" s="23" t="s">
        <v>64</v>
      </c>
      <c r="C37" s="21"/>
      <c r="D37" s="21"/>
      <c r="E37" s="21"/>
    </row>
    <row r="38" spans="2:5" x14ac:dyDescent="0.15">
      <c r="B38" s="21"/>
      <c r="C38" s="21"/>
      <c r="D38" s="21"/>
      <c r="E38" s="21"/>
    </row>
  </sheetData>
  <mergeCells count="6">
    <mergeCell ref="B31:E31"/>
    <mergeCell ref="B4:E4"/>
    <mergeCell ref="B37:E38"/>
    <mergeCell ref="B17:D17"/>
    <mergeCell ref="B2:E2"/>
    <mergeCell ref="B10:E10"/>
  </mergeCells>
  <phoneticPr fontId="1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45"/>
  <sheetViews>
    <sheetView workbookViewId="0"/>
  </sheetViews>
  <sheetFormatPr defaultRowHeight="13.5" x14ac:dyDescent="0.15"/>
  <cols>
    <col min="1" max="1" width="5" customWidth="1"/>
    <col min="2" max="2" width="80" customWidth="1"/>
  </cols>
  <sheetData>
    <row r="2" spans="2:2" ht="18" x14ac:dyDescent="0.25">
      <c r="B2" s="1" t="s">
        <v>65</v>
      </c>
    </row>
    <row r="3" spans="2:2" ht="14.25" x14ac:dyDescent="0.2">
      <c r="B3" s="5" t="s">
        <v>66</v>
      </c>
    </row>
    <row r="5" spans="2:2" ht="15" x14ac:dyDescent="0.15">
      <c r="B5" s="2" t="s">
        <v>67</v>
      </c>
    </row>
    <row r="6" spans="2:2" ht="24.95" customHeight="1" x14ac:dyDescent="0.2">
      <c r="B6" s="16"/>
    </row>
    <row r="7" spans="2:2" ht="24.95" customHeight="1" x14ac:dyDescent="0.2">
      <c r="B7" s="16"/>
    </row>
    <row r="8" spans="2:2" ht="24.95" customHeight="1" x14ac:dyDescent="0.2">
      <c r="B8" s="16"/>
    </row>
    <row r="9" spans="2:2" ht="24.95" customHeight="1" x14ac:dyDescent="0.2">
      <c r="B9" s="16"/>
    </row>
    <row r="10" spans="2:2" ht="24.95" customHeight="1" x14ac:dyDescent="0.2">
      <c r="B10" s="16"/>
    </row>
    <row r="12" spans="2:2" ht="15" x14ac:dyDescent="0.15">
      <c r="B12" s="2" t="s">
        <v>68</v>
      </c>
    </row>
    <row r="13" spans="2:2" ht="24.95" customHeight="1" x14ac:dyDescent="0.2">
      <c r="B13" s="16"/>
    </row>
    <row r="14" spans="2:2" ht="24.95" customHeight="1" x14ac:dyDescent="0.2">
      <c r="B14" s="16"/>
    </row>
    <row r="15" spans="2:2" ht="24.95" customHeight="1" x14ac:dyDescent="0.2">
      <c r="B15" s="16"/>
    </row>
    <row r="16" spans="2:2" ht="24.95" customHeight="1" x14ac:dyDescent="0.2">
      <c r="B16" s="16"/>
    </row>
    <row r="17" spans="2:2" ht="24.95" customHeight="1" x14ac:dyDescent="0.2">
      <c r="B17" s="16"/>
    </row>
    <row r="19" spans="2:2" ht="15" x14ac:dyDescent="0.15">
      <c r="B19" s="2" t="s">
        <v>69</v>
      </c>
    </row>
    <row r="20" spans="2:2" ht="24.95" customHeight="1" x14ac:dyDescent="0.2">
      <c r="B20" s="16"/>
    </row>
    <row r="21" spans="2:2" ht="24.95" customHeight="1" x14ac:dyDescent="0.2">
      <c r="B21" s="16"/>
    </row>
    <row r="22" spans="2:2" ht="24.95" customHeight="1" x14ac:dyDescent="0.2">
      <c r="B22" s="16"/>
    </row>
    <row r="23" spans="2:2" ht="24.95" customHeight="1" x14ac:dyDescent="0.2">
      <c r="B23" s="16"/>
    </row>
    <row r="24" spans="2:2" ht="24.95" customHeight="1" x14ac:dyDescent="0.2">
      <c r="B24" s="16"/>
    </row>
    <row r="26" spans="2:2" ht="15" x14ac:dyDescent="0.15">
      <c r="B26" s="2" t="s">
        <v>70</v>
      </c>
    </row>
    <row r="27" spans="2:2" ht="24.95" customHeight="1" x14ac:dyDescent="0.2">
      <c r="B27" s="16"/>
    </row>
    <row r="28" spans="2:2" ht="24.95" customHeight="1" x14ac:dyDescent="0.2">
      <c r="B28" s="16"/>
    </row>
    <row r="29" spans="2:2" ht="24.95" customHeight="1" x14ac:dyDescent="0.2">
      <c r="B29" s="16"/>
    </row>
    <row r="30" spans="2:2" ht="24.95" customHeight="1" x14ac:dyDescent="0.2">
      <c r="B30" s="16"/>
    </row>
    <row r="31" spans="2:2" ht="24.95" customHeight="1" x14ac:dyDescent="0.2">
      <c r="B31" s="16"/>
    </row>
    <row r="33" spans="2:2" ht="15" x14ac:dyDescent="0.15">
      <c r="B33" s="2" t="s">
        <v>71</v>
      </c>
    </row>
    <row r="34" spans="2:2" ht="24.95" customHeight="1" x14ac:dyDescent="0.2">
      <c r="B34" s="16"/>
    </row>
    <row r="35" spans="2:2" ht="24.95" customHeight="1" x14ac:dyDescent="0.2">
      <c r="B35" s="16"/>
    </row>
    <row r="36" spans="2:2" ht="24.95" customHeight="1" x14ac:dyDescent="0.2">
      <c r="B36" s="16"/>
    </row>
    <row r="37" spans="2:2" ht="24.95" customHeight="1" x14ac:dyDescent="0.2">
      <c r="B37" s="16"/>
    </row>
    <row r="38" spans="2:2" ht="24.95" customHeight="1" x14ac:dyDescent="0.2">
      <c r="B38" s="16"/>
    </row>
    <row r="40" spans="2:2" ht="15" x14ac:dyDescent="0.15">
      <c r="B40" s="2" t="s">
        <v>72</v>
      </c>
    </row>
    <row r="41" spans="2:2" ht="24.95" customHeight="1" x14ac:dyDescent="0.2">
      <c r="B41" s="16"/>
    </row>
    <row r="42" spans="2:2" ht="24.95" customHeight="1" x14ac:dyDescent="0.2">
      <c r="B42" s="16"/>
    </row>
    <row r="43" spans="2:2" ht="24.95" customHeight="1" x14ac:dyDescent="0.2">
      <c r="B43" s="16"/>
    </row>
    <row r="44" spans="2:2" ht="24.95" customHeight="1" x14ac:dyDescent="0.2">
      <c r="B44" s="16"/>
    </row>
    <row r="45" spans="2:2" ht="24.95" customHeight="1" x14ac:dyDescent="0.2">
      <c r="B45" s="16"/>
    </row>
  </sheetData>
  <phoneticPr fontId="1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基本情報入力</vt:lpstr>
      <vt:lpstr>住宅予算計算</vt:lpstr>
      <vt:lpstr>判断基準メモ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義正 福永</cp:lastModifiedBy>
  <dcterms:created xsi:type="dcterms:W3CDTF">2026-03-16T23:32:12Z</dcterms:created>
  <dcterms:modified xsi:type="dcterms:W3CDTF">2026-03-17T02:12:11Z</dcterms:modified>
</cp:coreProperties>
</file>